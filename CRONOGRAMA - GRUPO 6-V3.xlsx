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Mi unidad\GITHUB\trabajocientifico\IA_APLICADO_MUNDO_LABORAL\"/>
    </mc:Choice>
  </mc:AlternateContent>
  <xr:revisionPtr revIDLastSave="0" documentId="13_ncr:1_{62427C86-97AB-4091-975F-2A41B02126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2" r:id="rId1"/>
  </sheets>
  <definedNames>
    <definedName name="_xlnm._FilterDatabase" localSheetId="0" hidden="1">Cronograma!$A$14:$K$47</definedName>
    <definedName name="_xlnm.Print_Area" localSheetId="0">Cronograma!$A$1:$L$65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2" l="1"/>
  <c r="B16" i="2" s="1"/>
  <c r="E47" i="2"/>
  <c r="B15" i="2"/>
  <c r="C17" i="2" l="1"/>
  <c r="C58" i="2"/>
  <c r="C18" i="2" l="1"/>
  <c r="B17" i="2"/>
  <c r="B18" i="2" l="1"/>
  <c r="C19" i="2"/>
  <c r="C20" i="2" s="1"/>
  <c r="C21" i="2" s="1"/>
  <c r="B19" i="2" l="1"/>
  <c r="B20" i="2" l="1"/>
  <c r="C22" i="2" l="1"/>
  <c r="B21" i="2"/>
  <c r="B22" i="2" l="1"/>
  <c r="C23" i="2"/>
  <c r="C24" i="2" l="1"/>
  <c r="C25" i="2" s="1"/>
  <c r="C26" i="2" s="1"/>
  <c r="B23" i="2"/>
  <c r="B24" i="2" l="1"/>
  <c r="B25" i="2" l="1"/>
  <c r="B26" i="2" l="1"/>
  <c r="C27" i="2"/>
  <c r="C32" i="2" l="1"/>
  <c r="C28" i="2"/>
  <c r="B27" i="2"/>
  <c r="B28" i="2" l="1"/>
  <c r="C29" i="2"/>
  <c r="C30" i="2" s="1"/>
  <c r="C31" i="2" s="1"/>
  <c r="B32" i="2"/>
  <c r="C33" i="2"/>
  <c r="C34" i="2" l="1"/>
  <c r="C35" i="2" s="1"/>
  <c r="C36" i="2" s="1"/>
  <c r="B33" i="2"/>
  <c r="B29" i="2"/>
  <c r="B30" i="2" l="1"/>
  <c r="B31" i="2"/>
  <c r="B34" i="2"/>
  <c r="B35" i="2" l="1"/>
  <c r="B36" i="2" l="1"/>
  <c r="C37" i="2"/>
  <c r="C38" i="2" l="1"/>
  <c r="B37" i="2"/>
  <c r="B38" i="2" l="1"/>
  <c r="C39" i="2"/>
  <c r="C40" i="2" s="1"/>
  <c r="B39" i="2" l="1"/>
  <c r="B40" i="2" l="1"/>
  <c r="C41" i="2"/>
  <c r="C42" i="2" l="1"/>
  <c r="B41" i="2"/>
  <c r="B42" i="2" l="1"/>
  <c r="C43" i="2"/>
  <c r="C44" i="2" s="1"/>
  <c r="C45" i="2" s="1"/>
  <c r="C46" i="2" l="1"/>
  <c r="B46" i="2" s="1"/>
  <c r="B45" i="2"/>
  <c r="B44" i="2"/>
  <c r="B43" i="2"/>
</calcChain>
</file>

<file path=xl/sharedStrings.xml><?xml version="1.0" encoding="utf-8"?>
<sst xmlns="http://schemas.openxmlformats.org/spreadsheetml/2006/main" count="147" uniqueCount="64">
  <si>
    <t>Rectoría</t>
  </si>
  <si>
    <t>Dirección de Relaciones con el Entorno</t>
  </si>
  <si>
    <t>CRONOGRAMA DE ACTIVIDADES</t>
  </si>
  <si>
    <t xml:space="preserve">DEPARTAMENTO:    </t>
  </si>
  <si>
    <t>DIRECCIÓN DE RELACIÓN CON EL ENTORNO</t>
  </si>
  <si>
    <t xml:space="preserve">TIPO DE ACTIVIDAD:  </t>
  </si>
  <si>
    <t>DIPLOMADO</t>
  </si>
  <si>
    <t xml:space="preserve">NOMBRE DE LA ACTIVIDAD: </t>
  </si>
  <si>
    <t xml:space="preserve">EMPRESA: </t>
  </si>
  <si>
    <t>COMFANDI - CAJA DE COMPENSACION FAMILIAR VALLE DEL CAUCA COMFAMILIAR ANDI</t>
  </si>
  <si>
    <t>DURACIÓN:</t>
  </si>
  <si>
    <t>LUGAR:</t>
  </si>
  <si>
    <t>ONLINE POR LA PLATAFORMA CISCO WEBEX DE LA UNIVERSIDAD AUTÓNOMA DE OCCIDENTE</t>
  </si>
  <si>
    <t xml:space="preserve"> Días</t>
  </si>
  <si>
    <t>DIA</t>
  </si>
  <si>
    <t>FECHA</t>
  </si>
  <si>
    <t>HORA</t>
  </si>
  <si>
    <t>Total Horas</t>
  </si>
  <si>
    <t>Módulo</t>
  </si>
  <si>
    <t>Docente</t>
  </si>
  <si>
    <t>Total horas Docente</t>
  </si>
  <si>
    <t>Espacios Requeridos</t>
  </si>
  <si>
    <t>OBSERVACIONES</t>
  </si>
  <si>
    <t>6:00 pm a 9:00 pm</t>
  </si>
  <si>
    <t>TOTAL HORAS</t>
  </si>
  <si>
    <t>DATOS DOCENTE:</t>
  </si>
  <si>
    <t>NOMBRE DOCENTE</t>
  </si>
  <si>
    <t>NÚMERO CELULAR</t>
  </si>
  <si>
    <t>E-MAIL</t>
  </si>
  <si>
    <t>HORARIO:</t>
  </si>
  <si>
    <t>Lunes, martes, miercoles, jueves y viernes de 6:00 pm a 9:00 pm</t>
  </si>
  <si>
    <t>CONTACTOS:</t>
  </si>
  <si>
    <t>Versión: 0</t>
  </si>
  <si>
    <t>96 HORAS DEL 11 DE SEPTIEMBRE AL 27 DE OCTUBRE DEL 2026</t>
  </si>
  <si>
    <t>INTELIGENCIA ARTIFICIAL APLICADA AL MUNDO LABORAL - GRUPO 6</t>
  </si>
  <si>
    <t>Oscar Ivan Vargas</t>
  </si>
  <si>
    <t>Juan Pablo Enriquez</t>
  </si>
  <si>
    <t>janneth Lorena Torres</t>
  </si>
  <si>
    <t>Marisol Martinez</t>
  </si>
  <si>
    <t>Raul Collazos</t>
  </si>
  <si>
    <t xml:space="preserve">Felipe Casas </t>
  </si>
  <si>
    <t>MARISOL MARTINEZ IGUA</t>
  </si>
  <si>
    <t xml:space="preserve">mmartinezasesorias@gmail.com </t>
  </si>
  <si>
    <t>jpablortiz96@gmail.com</t>
  </si>
  <si>
    <t>JUAN PABLO ENRIQUEZ ORTIZ</t>
  </si>
  <si>
    <t>CARLOS FELIPE CASAS GUZMAN</t>
  </si>
  <si>
    <t>felipe.casas1195@gmail.com</t>
  </si>
  <si>
    <t>OSCAR IVAN VARGAS PINEDA</t>
  </si>
  <si>
    <t>oscarvargas@trabajocientifico.org</t>
  </si>
  <si>
    <t>RAUL COLLAZOS CASTILLO</t>
  </si>
  <si>
    <t>raulcollazoscastillo@hotmail.com</t>
  </si>
  <si>
    <t>JANNETH LORENA TORRES VALENCIA</t>
  </si>
  <si>
    <t>jltorres@uao.edu.co</t>
  </si>
  <si>
    <t>Nesly Angelica Urbano Muñoz</t>
  </si>
  <si>
    <t>Correo electronico: ejecutivocomercial4@uao.edu.co</t>
  </si>
  <si>
    <t>Numero de celular: 3162728363</t>
  </si>
  <si>
    <t>Ejecutiva Comercial</t>
  </si>
  <si>
    <r>
      <t>MÓDULO I:</t>
    </r>
    <r>
      <rPr>
        <sz val="26"/>
        <color rgb="FF000000"/>
        <rFont val="Arial"/>
        <family val="2"/>
      </rPr>
      <t xml:space="preserve"> Fundamentos y Panorama de la IA (IAG vs IAD y tendencias) </t>
    </r>
  </si>
  <si>
    <r>
      <t>MÓDULO II:</t>
    </r>
    <r>
      <rPr>
        <sz val="26"/>
        <color rgb="FF000000"/>
        <rFont val="Arial"/>
        <family val="2"/>
      </rPr>
      <t xml:space="preserve"> Ingeniería de Prompt y Comunicación con IA </t>
    </r>
  </si>
  <si>
    <r>
      <t>MÓDULO III:</t>
    </r>
    <r>
      <rPr>
        <sz val="26"/>
        <color rgb="FF000000"/>
        <rFont val="Arial"/>
        <family val="2"/>
      </rPr>
      <t xml:space="preserve"> Ética, Normativa y Uso Responsable de la IA </t>
    </r>
  </si>
  <si>
    <r>
      <t>MÓDULO IV:</t>
    </r>
    <r>
      <rPr>
        <sz val="26"/>
        <color rgb="FF000000"/>
        <rFont val="Arial"/>
        <family val="2"/>
      </rPr>
      <t xml:space="preserve"> Automatización y Gestión de Datos con IA </t>
    </r>
  </si>
  <si>
    <r>
      <t>MÓDULO V:</t>
    </r>
    <r>
      <rPr>
        <sz val="26"/>
        <color rgb="FF000000"/>
        <rFont val="Arial"/>
        <family val="2"/>
      </rPr>
      <t xml:space="preserve"> Creación de Agentes Inteligentes </t>
    </r>
  </si>
  <si>
    <r>
      <t>MÓDULO VI:</t>
    </r>
    <r>
      <rPr>
        <sz val="26"/>
        <color rgb="FF000000"/>
        <rFont val="Arial"/>
        <family val="2"/>
      </rPr>
      <t xml:space="preserve"> Desarrollo e integración Entornos Web con IA </t>
    </r>
  </si>
  <si>
    <r>
      <t>MÓDULO VII:</t>
    </r>
    <r>
      <rPr>
        <sz val="26"/>
        <color rgb="FF000000"/>
        <rFont val="Arial"/>
        <family val="2"/>
      </rPr>
      <t xml:space="preserve"> Casos practico grupal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</si>
</sst>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7" x14ac:knownFonts="1">
    <font>
      <sz val="10"/>
      <color rgb="FF000000"/>
      <name val="Arial"/>
      <scheme val="minor"/>
    </font>
    <font>
      <b/>
      <sz val="10"/>
      <color theme="1"/>
      <name val="Tahoma"/>
      <family val="2"/>
    </font>
    <font>
      <sz val="10"/>
      <color theme="1"/>
      <name val="Arial Narrow"/>
      <family val="2"/>
    </font>
    <font>
      <b/>
      <sz val="14"/>
      <color theme="1"/>
      <name val="Tahoma"/>
      <family val="2"/>
    </font>
    <font>
      <sz val="10"/>
      <name val="Arial"/>
      <family val="2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sz val="7"/>
      <color theme="1"/>
      <name val="Tahoma"/>
      <family val="2"/>
    </font>
    <font>
      <b/>
      <u/>
      <sz val="10"/>
      <color theme="1"/>
      <name val="Tahoma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theme="1"/>
      <name val="Tahoma"/>
      <family val="2"/>
    </font>
    <font>
      <b/>
      <sz val="16"/>
      <color theme="1"/>
      <name val="Tahoma"/>
      <family val="2"/>
    </font>
    <font>
      <sz val="16"/>
      <color rgb="FF000000"/>
      <name val="Arial"/>
      <family val="2"/>
      <scheme val="minor"/>
    </font>
    <font>
      <sz val="16"/>
      <color theme="1"/>
      <name val="Tahoma"/>
      <family val="2"/>
    </font>
    <font>
      <sz val="16"/>
      <color theme="1"/>
      <name val="Arial Narrow"/>
      <family val="2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sz val="14"/>
      <name val="Arial"/>
      <family val="2"/>
    </font>
    <font>
      <sz val="16"/>
      <name val="Arial"/>
      <family val="2"/>
    </font>
    <font>
      <sz val="20"/>
      <color theme="1"/>
      <name val="Tahoma"/>
      <family val="2"/>
    </font>
    <font>
      <sz val="20"/>
      <color rgb="FF000000"/>
      <name val="Arial"/>
      <family val="2"/>
      <scheme val="minor"/>
    </font>
    <font>
      <b/>
      <sz val="20"/>
      <color theme="1"/>
      <name val="Tahoma"/>
      <family val="2"/>
    </font>
    <font>
      <sz val="20"/>
      <name val="Arial"/>
      <family val="2"/>
    </font>
    <font>
      <b/>
      <u/>
      <sz val="16"/>
      <color theme="1"/>
      <name val="Tahoma"/>
      <family val="2"/>
    </font>
    <font>
      <u/>
      <sz val="16"/>
      <color theme="10"/>
      <name val="Arial"/>
      <family val="2"/>
      <scheme val="minor"/>
    </font>
    <font>
      <b/>
      <u/>
      <sz val="16"/>
      <name val="Tahoma"/>
      <family val="2"/>
    </font>
    <font>
      <u/>
      <sz val="16"/>
      <color rgb="FF0000FF"/>
      <name val="Tahoma"/>
      <family val="2"/>
    </font>
    <font>
      <b/>
      <sz val="16"/>
      <color theme="1"/>
      <name val="Arial"/>
      <family val="2"/>
    </font>
    <font>
      <sz val="22"/>
      <color theme="1"/>
      <name val="Tahoma"/>
      <family val="2"/>
    </font>
    <font>
      <sz val="22"/>
      <color rgb="FF000000"/>
      <name val="Tahoma"/>
      <family val="2"/>
    </font>
    <font>
      <sz val="22"/>
      <color rgb="FF000000"/>
      <name val="Arial"/>
      <family val="2"/>
      <scheme val="minor"/>
    </font>
    <font>
      <sz val="26"/>
      <color theme="1"/>
      <name val="Tahoma"/>
      <family val="2"/>
    </font>
    <font>
      <b/>
      <sz val="26"/>
      <color rgb="FF000000"/>
      <name val="Arial"/>
      <family val="2"/>
    </font>
    <font>
      <sz val="26"/>
      <color rgb="FF000000"/>
      <name val="Arial"/>
      <family val="2"/>
    </font>
    <font>
      <sz val="26"/>
      <color rgb="FF000000"/>
      <name val="Tahoma"/>
      <family val="2"/>
    </font>
    <font>
      <sz val="26"/>
      <name val="Tahoma"/>
      <family val="2"/>
    </font>
    <font>
      <sz val="26"/>
      <color rgb="FF000000"/>
      <name val="Arial"/>
      <family val="2"/>
      <scheme val="minor"/>
    </font>
    <font>
      <b/>
      <sz val="22"/>
      <color theme="1"/>
      <name val="Tahoma"/>
      <family val="2"/>
    </font>
    <font>
      <b/>
      <sz val="22"/>
      <color rgb="FF000000"/>
      <name val="Tahoma"/>
      <family val="2"/>
    </font>
    <font>
      <sz val="20"/>
      <color theme="1"/>
      <name val="Arial"/>
      <family val="2"/>
    </font>
    <font>
      <b/>
      <sz val="20"/>
      <name val="Tahoma"/>
      <family val="2"/>
    </font>
    <font>
      <sz val="2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0" borderId="2"/>
    <xf numFmtId="0" fontId="11" fillId="0" borderId="2" applyNumberFormat="0" applyFill="0" applyBorder="0" applyAlignment="0" applyProtection="0">
      <alignment vertical="top"/>
      <protection locked="0"/>
    </xf>
    <xf numFmtId="0" fontId="10" fillId="0" borderId="2"/>
    <xf numFmtId="0" fontId="9" fillId="0" borderId="2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14">
    <xf numFmtId="0" fontId="0" fillId="0" borderId="0" xfId="0"/>
    <xf numFmtId="0" fontId="10" fillId="0" borderId="2" xfId="3"/>
    <xf numFmtId="0" fontId="10" fillId="0" borderId="2" xfId="3" applyAlignment="1">
      <alignment horizontal="center"/>
    </xf>
    <xf numFmtId="0" fontId="2" fillId="0" borderId="2" xfId="3" applyFont="1"/>
    <xf numFmtId="0" fontId="2" fillId="0" borderId="2" xfId="3" applyFont="1" applyAlignment="1">
      <alignment horizontal="center"/>
    </xf>
    <xf numFmtId="0" fontId="5" fillId="0" borderId="2" xfId="3" applyFont="1"/>
    <xf numFmtId="0" fontId="1" fillId="0" borderId="2" xfId="3" applyFont="1" applyAlignment="1">
      <alignment horizontal="center"/>
    </xf>
    <xf numFmtId="0" fontId="6" fillId="0" borderId="2" xfId="3" applyFont="1" applyAlignment="1">
      <alignment horizontal="center"/>
    </xf>
    <xf numFmtId="0" fontId="7" fillId="0" borderId="2" xfId="3" applyFont="1" applyAlignment="1">
      <alignment horizontal="center" vertical="center" wrapText="1"/>
    </xf>
    <xf numFmtId="0" fontId="14" fillId="0" borderId="2" xfId="3" applyFont="1"/>
    <xf numFmtId="0" fontId="15" fillId="0" borderId="2" xfId="3" applyFont="1"/>
    <xf numFmtId="0" fontId="17" fillId="0" borderId="2" xfId="3" applyFont="1"/>
    <xf numFmtId="0" fontId="17" fillId="0" borderId="2" xfId="3" applyFont="1" applyAlignment="1">
      <alignment horizontal="center"/>
    </xf>
    <xf numFmtId="0" fontId="16" fillId="0" borderId="2" xfId="3" applyFont="1" applyAlignment="1">
      <alignment vertical="center"/>
    </xf>
    <xf numFmtId="0" fontId="18" fillId="0" borderId="2" xfId="3" applyFont="1"/>
    <xf numFmtId="0" fontId="16" fillId="0" borderId="2" xfId="3" applyFont="1" applyAlignment="1">
      <alignment horizontal="center" vertical="center"/>
    </xf>
    <xf numFmtId="0" fontId="20" fillId="0" borderId="2" xfId="3" applyFont="1"/>
    <xf numFmtId="0" fontId="24" fillId="0" borderId="2" xfId="3" applyFont="1"/>
    <xf numFmtId="0" fontId="25" fillId="0" borderId="2" xfId="3" applyFont="1"/>
    <xf numFmtId="0" fontId="26" fillId="0" borderId="16" xfId="3" applyFont="1" applyBorder="1" applyAlignment="1">
      <alignment horizontal="center"/>
    </xf>
    <xf numFmtId="20" fontId="24" fillId="0" borderId="16" xfId="3" applyNumberFormat="1" applyFont="1" applyBorder="1" applyAlignment="1">
      <alignment horizontal="center" vertical="center" wrapText="1"/>
    </xf>
    <xf numFmtId="20" fontId="24" fillId="0" borderId="9" xfId="3" applyNumberFormat="1" applyFont="1" applyBorder="1" applyAlignment="1">
      <alignment horizontal="center" vertical="center" wrapText="1"/>
    </xf>
    <xf numFmtId="0" fontId="27" fillId="0" borderId="9" xfId="3" applyFont="1" applyBorder="1"/>
    <xf numFmtId="0" fontId="27" fillId="0" borderId="10" xfId="3" applyFont="1" applyBorder="1"/>
    <xf numFmtId="0" fontId="18" fillId="0" borderId="2" xfId="3" applyFont="1" applyAlignment="1">
      <alignment vertical="center"/>
    </xf>
    <xf numFmtId="0" fontId="17" fillId="0" borderId="2" xfId="3" applyFont="1" applyAlignment="1">
      <alignment vertical="center"/>
    </xf>
    <xf numFmtId="0" fontId="16" fillId="0" borderId="2" xfId="3" applyFont="1" applyAlignment="1">
      <alignment vertical="center" wrapText="1"/>
    </xf>
    <xf numFmtId="0" fontId="21" fillId="0" borderId="2" xfId="3" applyFont="1" applyAlignment="1">
      <alignment vertical="center"/>
    </xf>
    <xf numFmtId="0" fontId="18" fillId="0" borderId="2" xfId="3" applyFont="1" applyAlignment="1">
      <alignment horizontal="left" vertical="center" wrapText="1"/>
    </xf>
    <xf numFmtId="0" fontId="18" fillId="0" borderId="2" xfId="3" applyFont="1" applyAlignment="1">
      <alignment horizontal="left" wrapText="1"/>
    </xf>
    <xf numFmtId="0" fontId="18" fillId="0" borderId="2" xfId="3" applyFont="1" applyAlignment="1">
      <alignment horizontal="center" wrapText="1"/>
    </xf>
    <xf numFmtId="0" fontId="20" fillId="0" borderId="2" xfId="0" applyFont="1" applyBorder="1"/>
    <xf numFmtId="0" fontId="18" fillId="0" borderId="2" xfId="3" applyFont="1" applyAlignment="1">
      <alignment horizontal="left"/>
    </xf>
    <xf numFmtId="0" fontId="18" fillId="0" borderId="2" xfId="3" applyFont="1" applyAlignment="1">
      <alignment horizontal="center"/>
    </xf>
    <xf numFmtId="0" fontId="31" fillId="0" borderId="2" xfId="3" applyFont="1" applyAlignment="1">
      <alignment horizontal="left"/>
    </xf>
    <xf numFmtId="0" fontId="17" fillId="0" borderId="2" xfId="0" applyFont="1" applyBorder="1"/>
    <xf numFmtId="0" fontId="32" fillId="0" borderId="2" xfId="3" applyFont="1" applyAlignment="1">
      <alignment horizontal="right"/>
    </xf>
    <xf numFmtId="0" fontId="3" fillId="2" borderId="3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2" xfId="3" applyFont="1" applyFill="1" applyBorder="1" applyAlignment="1">
      <alignment horizontal="center" vertical="center" wrapText="1"/>
    </xf>
    <xf numFmtId="0" fontId="3" fillId="2" borderId="19" xfId="3" applyFont="1" applyFill="1" applyBorder="1" applyAlignment="1">
      <alignment horizontal="center" vertical="center" wrapText="1"/>
    </xf>
    <xf numFmtId="0" fontId="35" fillId="0" borderId="2" xfId="3" applyFont="1"/>
    <xf numFmtId="0" fontId="36" fillId="0" borderId="5" xfId="3" applyFont="1" applyBorder="1" applyAlignment="1">
      <alignment horizontal="center" vertical="center"/>
    </xf>
    <xf numFmtId="164" fontId="36" fillId="0" borderId="6" xfId="3" applyNumberFormat="1" applyFont="1" applyBorder="1" applyAlignment="1">
      <alignment horizontal="center" vertical="center" wrapText="1"/>
    </xf>
    <xf numFmtId="14" fontId="36" fillId="0" borderId="6" xfId="3" applyNumberFormat="1" applyFont="1" applyBorder="1" applyAlignment="1">
      <alignment horizontal="center" vertical="center" wrapText="1"/>
    </xf>
    <xf numFmtId="0" fontId="36" fillId="0" borderId="6" xfId="3" applyFont="1" applyBorder="1" applyAlignment="1">
      <alignment horizontal="center" vertical="center" wrapText="1"/>
    </xf>
    <xf numFmtId="0" fontId="36" fillId="0" borderId="7" xfId="3" applyFont="1" applyBorder="1" applyAlignment="1">
      <alignment horizontal="center" vertical="center" wrapText="1"/>
    </xf>
    <xf numFmtId="0" fontId="37" fillId="0" borderId="11" xfId="0" applyFont="1" applyBorder="1" applyAlignment="1">
      <alignment vertical="center" wrapText="1"/>
    </xf>
    <xf numFmtId="0" fontId="39" fillId="0" borderId="11" xfId="0" applyFont="1" applyBorder="1"/>
    <xf numFmtId="0" fontId="36" fillId="0" borderId="11" xfId="3" applyFont="1" applyBorder="1" applyAlignment="1">
      <alignment horizontal="center" vertical="center" wrapText="1"/>
    </xf>
    <xf numFmtId="0" fontId="36" fillId="0" borderId="11" xfId="3" applyFont="1" applyBorder="1" applyAlignment="1">
      <alignment vertical="center" wrapText="1"/>
    </xf>
    <xf numFmtId="0" fontId="36" fillId="0" borderId="2" xfId="3" applyFont="1"/>
    <xf numFmtId="0" fontId="41" fillId="0" borderId="2" xfId="3" applyFont="1"/>
    <xf numFmtId="164" fontId="36" fillId="3" borderId="6" xfId="3" applyNumberFormat="1" applyFont="1" applyFill="1" applyBorder="1" applyAlignment="1">
      <alignment horizontal="center" vertical="center" wrapText="1"/>
    </xf>
    <xf numFmtId="14" fontId="36" fillId="3" borderId="6" xfId="3" applyNumberFormat="1" applyFont="1" applyFill="1" applyBorder="1" applyAlignment="1">
      <alignment horizontal="center" vertical="center" wrapText="1"/>
    </xf>
    <xf numFmtId="0" fontId="36" fillId="3" borderId="2" xfId="3" applyFont="1" applyFill="1"/>
    <xf numFmtId="0" fontId="41" fillId="3" borderId="2" xfId="3" applyFont="1" applyFill="1"/>
    <xf numFmtId="0" fontId="26" fillId="0" borderId="1" xfId="3" applyFont="1" applyBorder="1" applyAlignment="1">
      <alignment horizontal="left"/>
    </xf>
    <xf numFmtId="0" fontId="44" fillId="0" borderId="1" xfId="3" applyFont="1" applyBorder="1"/>
    <xf numFmtId="0" fontId="25" fillId="0" borderId="2" xfId="3" applyFont="1" applyAlignment="1">
      <alignment horizontal="center"/>
    </xf>
    <xf numFmtId="0" fontId="26" fillId="0" borderId="2" xfId="3" applyFont="1" applyAlignment="1">
      <alignment vertical="center"/>
    </xf>
    <xf numFmtId="0" fontId="45" fillId="0" borderId="0" xfId="0" applyFont="1" applyAlignment="1">
      <alignment horizontal="left" vertical="center"/>
    </xf>
    <xf numFmtId="0" fontId="26" fillId="0" borderId="2" xfId="3" applyFont="1" applyAlignment="1">
      <alignment horizontal="left"/>
    </xf>
    <xf numFmtId="0" fontId="46" fillId="0" borderId="2" xfId="3" applyFont="1"/>
    <xf numFmtId="0" fontId="46" fillId="0" borderId="2" xfId="3" applyFont="1" applyAlignment="1">
      <alignment horizontal="center"/>
    </xf>
    <xf numFmtId="0" fontId="42" fillId="0" borderId="2" xfId="3" applyFont="1" applyAlignment="1">
      <alignment horizontal="left"/>
    </xf>
    <xf numFmtId="0" fontId="35" fillId="0" borderId="2" xfId="3" applyFont="1"/>
    <xf numFmtId="0" fontId="33" fillId="0" borderId="2" xfId="3" applyFont="1" applyAlignment="1">
      <alignment horizontal="left" vertical="center" wrapText="1"/>
    </xf>
    <xf numFmtId="0" fontId="3" fillId="2" borderId="12" xfId="3" applyFont="1" applyFill="1" applyBorder="1" applyAlignment="1">
      <alignment horizontal="center" vertical="center" wrapText="1"/>
    </xf>
    <xf numFmtId="0" fontId="22" fillId="0" borderId="13" xfId="3" applyFont="1" applyBorder="1"/>
    <xf numFmtId="0" fontId="40" fillId="0" borderId="17" xfId="3" applyFont="1" applyBorder="1" applyAlignment="1">
      <alignment horizontal="center" vertical="center" wrapText="1"/>
    </xf>
    <xf numFmtId="0" fontId="40" fillId="0" borderId="18" xfId="3" applyFont="1" applyBorder="1" applyAlignment="1">
      <alignment horizontal="center" vertical="center" wrapText="1"/>
    </xf>
    <xf numFmtId="0" fontId="26" fillId="0" borderId="8" xfId="3" applyFont="1" applyBorder="1" applyAlignment="1">
      <alignment horizontal="center"/>
    </xf>
    <xf numFmtId="0" fontId="27" fillId="0" borderId="14" xfId="3" applyFont="1" applyBorder="1"/>
    <xf numFmtId="0" fontId="27" fillId="0" borderId="15" xfId="3" applyFont="1" applyBorder="1"/>
    <xf numFmtId="0" fontId="8" fillId="0" borderId="20" xfId="3" applyFont="1" applyBorder="1" applyAlignment="1">
      <alignment horizontal="center" vertical="center"/>
    </xf>
    <xf numFmtId="0" fontId="4" fillId="0" borderId="21" xfId="3" applyFont="1" applyBorder="1" applyAlignment="1">
      <alignment vertical="center"/>
    </xf>
    <xf numFmtId="0" fontId="4" fillId="0" borderId="22" xfId="3" applyFont="1" applyBorder="1" applyAlignment="1">
      <alignment vertical="center"/>
    </xf>
    <xf numFmtId="0" fontId="28" fillId="0" borderId="23" xfId="3" applyFont="1" applyBorder="1" applyAlignment="1">
      <alignment horizontal="center" vertical="center"/>
    </xf>
    <xf numFmtId="0" fontId="23" fillId="0" borderId="11" xfId="3" applyFont="1" applyBorder="1" applyAlignment="1">
      <alignment vertical="center"/>
    </xf>
    <xf numFmtId="0" fontId="16" fillId="0" borderId="2" xfId="3" applyFont="1" applyAlignment="1">
      <alignment horizontal="left" vertical="center" wrapText="1"/>
    </xf>
    <xf numFmtId="0" fontId="17" fillId="0" borderId="2" xfId="3" applyFont="1"/>
    <xf numFmtId="0" fontId="18" fillId="0" borderId="2" xfId="3" applyFont="1" applyAlignment="1">
      <alignment horizontal="left"/>
    </xf>
    <xf numFmtId="0" fontId="30" fillId="0" borderId="23" xfId="3" applyFont="1" applyBorder="1" applyAlignment="1">
      <alignment horizontal="center" vertical="center"/>
    </xf>
    <xf numFmtId="0" fontId="18" fillId="0" borderId="11" xfId="3" applyFont="1" applyBorder="1" applyAlignment="1">
      <alignment horizontal="center" vertical="center"/>
    </xf>
    <xf numFmtId="0" fontId="29" fillId="0" borderId="11" xfId="6" applyFont="1" applyBorder="1" applyAlignment="1">
      <alignment horizontal="center" vertical="center"/>
    </xf>
    <xf numFmtId="0" fontId="29" fillId="0" borderId="11" xfId="5" applyFont="1" applyBorder="1" applyAlignment="1">
      <alignment vertical="center"/>
    </xf>
    <xf numFmtId="0" fontId="29" fillId="0" borderId="24" xfId="5" applyFont="1" applyBorder="1" applyAlignment="1">
      <alignment vertical="center"/>
    </xf>
    <xf numFmtId="0" fontId="28" fillId="0" borderId="25" xfId="3" applyFont="1" applyBorder="1" applyAlignment="1">
      <alignment horizontal="center" vertical="center"/>
    </xf>
    <xf numFmtId="0" fontId="23" fillId="0" borderId="26" xfId="3" applyFont="1" applyBorder="1" applyAlignment="1">
      <alignment vertical="center"/>
    </xf>
    <xf numFmtId="0" fontId="18" fillId="0" borderId="26" xfId="3" applyFont="1" applyBorder="1" applyAlignment="1">
      <alignment horizontal="center" vertical="center"/>
    </xf>
    <xf numFmtId="0" fontId="29" fillId="0" borderId="26" xfId="6" applyFont="1" applyBorder="1" applyAlignment="1">
      <alignment horizontal="center" vertical="center"/>
    </xf>
    <xf numFmtId="0" fontId="29" fillId="0" borderId="26" xfId="5" applyFont="1" applyBorder="1" applyAlignment="1">
      <alignment vertical="center"/>
    </xf>
    <xf numFmtId="0" fontId="29" fillId="0" borderId="27" xfId="5" applyFont="1" applyBorder="1" applyAlignment="1">
      <alignment vertical="center"/>
    </xf>
    <xf numFmtId="0" fontId="16" fillId="0" borderId="2" xfId="3" applyFont="1" applyAlignment="1">
      <alignment horizontal="left" wrapText="1"/>
    </xf>
    <xf numFmtId="0" fontId="20" fillId="0" borderId="2" xfId="3" applyFont="1"/>
    <xf numFmtId="0" fontId="40" fillId="3" borderId="17" xfId="3" applyFont="1" applyFill="1" applyBorder="1" applyAlignment="1">
      <alignment horizontal="center" vertical="center" wrapText="1"/>
    </xf>
    <xf numFmtId="0" fontId="40" fillId="3" borderId="18" xfId="3" applyFont="1" applyFill="1" applyBorder="1" applyAlignment="1">
      <alignment horizontal="center" vertical="center" wrapText="1"/>
    </xf>
    <xf numFmtId="0" fontId="16" fillId="0" borderId="2" xfId="3" applyFont="1" applyAlignment="1">
      <alignment horizontal="center" vertical="center"/>
    </xf>
    <xf numFmtId="0" fontId="19" fillId="0" borderId="2" xfId="3" applyFont="1" applyAlignment="1">
      <alignment horizontal="center"/>
    </xf>
    <xf numFmtId="0" fontId="42" fillId="0" borderId="2" xfId="3" applyFont="1" applyAlignment="1">
      <alignment horizontal="left" vertical="center"/>
    </xf>
    <xf numFmtId="0" fontId="34" fillId="0" borderId="2" xfId="3" applyFont="1" applyAlignment="1">
      <alignment vertical="center"/>
    </xf>
    <xf numFmtId="0" fontId="33" fillId="0" borderId="2" xfId="3" applyFont="1" applyAlignment="1">
      <alignment horizontal="left" vertical="center"/>
    </xf>
    <xf numFmtId="0" fontId="43" fillId="0" borderId="2" xfId="3" applyFont="1" applyAlignment="1">
      <alignment vertical="center"/>
    </xf>
    <xf numFmtId="0" fontId="34" fillId="0" borderId="2" xfId="3" applyFont="1"/>
    <xf numFmtId="0" fontId="28" fillId="0" borderId="11" xfId="3" applyFont="1" applyBorder="1" applyAlignment="1">
      <alignment horizontal="center" vertical="center"/>
    </xf>
    <xf numFmtId="0" fontId="23" fillId="0" borderId="24" xfId="3" applyFont="1" applyBorder="1" applyAlignment="1">
      <alignment vertical="center"/>
    </xf>
    <xf numFmtId="0" fontId="36" fillId="4" borderId="5" xfId="3" applyFont="1" applyFill="1" applyBorder="1" applyAlignment="1">
      <alignment horizontal="center" vertical="center"/>
    </xf>
    <xf numFmtId="164" fontId="36" fillId="4" borderId="6" xfId="3" applyNumberFormat="1" applyFont="1" applyFill="1" applyBorder="1" applyAlignment="1">
      <alignment horizontal="center" vertical="center" wrapText="1"/>
    </xf>
    <xf numFmtId="14" fontId="36" fillId="4" borderId="6" xfId="3" applyNumberFormat="1" applyFont="1" applyFill="1" applyBorder="1" applyAlignment="1">
      <alignment horizontal="center" vertical="center" wrapText="1"/>
    </xf>
    <xf numFmtId="0" fontId="36" fillId="4" borderId="6" xfId="3" applyFont="1" applyFill="1" applyBorder="1" applyAlignment="1">
      <alignment horizontal="center" vertical="center" wrapText="1"/>
    </xf>
    <xf numFmtId="0" fontId="36" fillId="4" borderId="7" xfId="3" applyFont="1" applyFill="1" applyBorder="1" applyAlignment="1">
      <alignment horizontal="center" vertical="center" wrapText="1"/>
    </xf>
    <xf numFmtId="0" fontId="37" fillId="4" borderId="11" xfId="0" applyFont="1" applyFill="1" applyBorder="1" applyAlignment="1">
      <alignment vertical="center" wrapText="1"/>
    </xf>
    <xf numFmtId="0" fontId="39" fillId="4" borderId="11" xfId="0" applyFont="1" applyFill="1" applyBorder="1"/>
  </cellXfs>
  <cellStyles count="7">
    <cellStyle name="Hipervínculo" xfId="6" builtinId="8"/>
    <cellStyle name="Hipervínculo 2" xfId="2" xr:uid="{00000000-0005-0000-0000-000000000000}"/>
    <cellStyle name="Hipervínculo 3" xfId="4" xr:uid="{00000000-0005-0000-0000-000001000000}"/>
    <cellStyle name="Hyperlink" xfId="5" xr:uid="{00000000-0005-0000-0000-000002000000}"/>
    <cellStyle name="Normal" xfId="0" builtinId="0"/>
    <cellStyle name="Normal 2" xfId="1" xr:uid="{00000000-0005-0000-0000-000004000000}"/>
    <cellStyle name="Normal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723900</xdr:colOff>
      <xdr:row>1</xdr:row>
      <xdr:rowOff>254000</xdr:rowOff>
    </xdr:from>
    <xdr:to>
      <xdr:col>11</xdr:col>
      <xdr:colOff>524996</xdr:colOff>
      <xdr:row>2</xdr:row>
      <xdr:rowOff>56963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074F513-8EBF-4382-9FDE-287656BE4C61}"/>
            </a:ext>
          </a:extLst>
        </xdr:cNvPr>
        <xdr:cNvSpPr/>
      </xdr:nvSpPr>
      <xdr:spPr>
        <a:xfrm>
          <a:off x="26076275" y="619125"/>
          <a:ext cx="1277471" cy="168088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>
              <a:solidFill>
                <a:schemeClr val="bg1"/>
              </a:solidFill>
            </a:rPr>
            <a:t>DIRE-5-FO01</a:t>
          </a:r>
        </a:p>
      </xdr:txBody>
    </xdr:sp>
    <xdr:clientData/>
  </xdr:twoCellAnchor>
  <xdr:twoCellAnchor editAs="oneCell">
    <xdr:from>
      <xdr:col>10</xdr:col>
      <xdr:colOff>682625</xdr:colOff>
      <xdr:row>0</xdr:row>
      <xdr:rowOff>98425</xdr:rowOff>
    </xdr:from>
    <xdr:to>
      <xdr:col>11</xdr:col>
      <xdr:colOff>494926</xdr:colOff>
      <xdr:row>1</xdr:row>
      <xdr:rowOff>176691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028775-6519-4625-9830-D70C2494F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03500" y="98425"/>
          <a:ext cx="1288676" cy="443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oscarvargas@trabajocientifico.or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aulcollazoscastillo@hotmail.com" TargetMode="External"/><Relationship Id="rId1" Type="http://schemas.openxmlformats.org/officeDocument/2006/relationships/hyperlink" Target="mailto:jltorres@uao.edu.co" TargetMode="External"/><Relationship Id="rId6" Type="http://schemas.openxmlformats.org/officeDocument/2006/relationships/hyperlink" Target="mailto:mmartinezasesorias@gmail.com" TargetMode="External"/><Relationship Id="rId5" Type="http://schemas.openxmlformats.org/officeDocument/2006/relationships/hyperlink" Target="mailto:jpablortiz96@gmail.com" TargetMode="External"/><Relationship Id="rId4" Type="http://schemas.openxmlformats.org/officeDocument/2006/relationships/hyperlink" Target="mailto:felipe.casas11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showGridLines="0" tabSelected="1" view="pageBreakPreview" topLeftCell="A7" zoomScale="25" zoomScaleNormal="100" zoomScaleSheetLayoutView="25" workbookViewId="0">
      <selection activeCell="I20" sqref="I20"/>
    </sheetView>
  </sheetViews>
  <sheetFormatPr baseColWidth="10" defaultColWidth="12.42578125" defaultRowHeight="15" customHeight="1" x14ac:dyDescent="0.2"/>
  <cols>
    <col min="1" max="1" width="10.85546875" style="1" customWidth="1"/>
    <col min="2" max="2" width="63" style="1" customWidth="1"/>
    <col min="3" max="3" width="39" style="1" customWidth="1"/>
    <col min="4" max="4" width="51.28515625" style="1" customWidth="1"/>
    <col min="5" max="5" width="14.140625" style="1" customWidth="1"/>
    <col min="6" max="6" width="148.140625" style="1" customWidth="1"/>
    <col min="7" max="7" width="58.42578125" style="2" customWidth="1"/>
    <col min="8" max="8" width="16.85546875" style="1" customWidth="1"/>
    <col min="9" max="9" width="23" style="1" customWidth="1"/>
    <col min="10" max="10" width="16.85546875" style="1" customWidth="1"/>
    <col min="11" max="11" width="22.140625" style="1" customWidth="1"/>
    <col min="12" max="26" width="9.140625" style="1" customWidth="1"/>
    <col min="27" max="16384" width="12.42578125" style="1"/>
  </cols>
  <sheetData>
    <row r="1" spans="1:26" s="18" customFormat="1" ht="29.25" customHeight="1" thickBot="1" x14ac:dyDescent="0.4">
      <c r="A1" s="57" t="s">
        <v>0</v>
      </c>
      <c r="B1" s="57"/>
      <c r="C1" s="58"/>
      <c r="G1" s="59"/>
      <c r="J1" s="60"/>
      <c r="K1" s="17"/>
    </row>
    <row r="2" spans="1:26" s="18" customFormat="1" ht="29.25" customHeight="1" x14ac:dyDescent="0.35">
      <c r="A2" s="61" t="s">
        <v>1</v>
      </c>
      <c r="B2" s="62"/>
      <c r="C2" s="63"/>
      <c r="D2" s="63"/>
      <c r="E2" s="63"/>
      <c r="F2" s="63"/>
      <c r="G2" s="64"/>
      <c r="H2" s="63"/>
      <c r="I2" s="63"/>
      <c r="J2" s="17"/>
      <c r="K2" s="60"/>
    </row>
    <row r="3" spans="1:26" s="11" customFormat="1" ht="18.75" customHeight="1" x14ac:dyDescent="0.3">
      <c r="B3" s="13"/>
      <c r="C3" s="13"/>
      <c r="D3" s="13"/>
      <c r="E3" s="13"/>
      <c r="F3" s="13"/>
      <c r="G3" s="15"/>
      <c r="H3" s="13"/>
      <c r="I3" s="13"/>
      <c r="J3" s="13"/>
      <c r="K3" s="13"/>
    </row>
    <row r="4" spans="1:26" s="11" customFormat="1" ht="15" customHeight="1" x14ac:dyDescent="0.3">
      <c r="A4" s="98" t="s">
        <v>2</v>
      </c>
      <c r="B4" s="81"/>
      <c r="C4" s="81"/>
      <c r="D4" s="81"/>
      <c r="E4" s="81"/>
      <c r="F4" s="81"/>
      <c r="G4" s="81"/>
      <c r="H4" s="81"/>
      <c r="I4" s="81"/>
      <c r="J4" s="81"/>
    </row>
    <row r="5" spans="1:26" s="11" customFormat="1" ht="21" customHeight="1" x14ac:dyDescent="0.3">
      <c r="A5" s="81"/>
      <c r="B5" s="81"/>
      <c r="C5" s="81"/>
      <c r="D5" s="81"/>
      <c r="E5" s="81"/>
      <c r="F5" s="81"/>
      <c r="G5" s="81"/>
      <c r="H5" s="81"/>
      <c r="I5" s="81"/>
      <c r="J5" s="81"/>
      <c r="K5" s="13"/>
    </row>
    <row r="6" spans="1:26" s="11" customFormat="1" ht="5.25" customHeight="1" x14ac:dyDescent="0.3">
      <c r="A6" s="99"/>
      <c r="B6" s="81"/>
      <c r="C6" s="81"/>
      <c r="D6" s="81"/>
      <c r="E6" s="81"/>
      <c r="F6" s="81"/>
      <c r="G6" s="81"/>
      <c r="H6" s="81"/>
      <c r="I6" s="81"/>
      <c r="J6" s="81"/>
      <c r="K6" s="81"/>
    </row>
    <row r="7" spans="1:26" s="41" customFormat="1" ht="37.5" customHeight="1" x14ac:dyDescent="0.35">
      <c r="A7" s="100" t="s">
        <v>3</v>
      </c>
      <c r="B7" s="101"/>
      <c r="C7" s="101"/>
      <c r="D7" s="102" t="s">
        <v>4</v>
      </c>
      <c r="E7" s="101"/>
      <c r="F7" s="101"/>
      <c r="G7" s="101"/>
      <c r="H7" s="101"/>
      <c r="I7" s="101"/>
      <c r="J7" s="101"/>
      <c r="K7" s="101"/>
    </row>
    <row r="8" spans="1:26" s="41" customFormat="1" ht="37.5" customHeight="1" x14ac:dyDescent="0.35">
      <c r="A8" s="100" t="s">
        <v>5</v>
      </c>
      <c r="B8" s="101"/>
      <c r="C8" s="101"/>
      <c r="D8" s="102" t="s">
        <v>6</v>
      </c>
      <c r="E8" s="101"/>
      <c r="F8" s="101"/>
      <c r="G8" s="101"/>
      <c r="H8" s="101"/>
      <c r="I8" s="101"/>
      <c r="J8" s="101"/>
      <c r="K8" s="101"/>
    </row>
    <row r="9" spans="1:26" s="41" customFormat="1" ht="37.5" customHeight="1" x14ac:dyDescent="0.35">
      <c r="A9" s="100" t="s">
        <v>7</v>
      </c>
      <c r="B9" s="101"/>
      <c r="C9" s="101"/>
      <c r="D9" s="100" t="s">
        <v>34</v>
      </c>
      <c r="E9" s="103"/>
      <c r="F9" s="103"/>
      <c r="G9" s="103"/>
      <c r="H9" s="103"/>
      <c r="I9" s="103"/>
      <c r="J9" s="103"/>
      <c r="K9" s="103"/>
    </row>
    <row r="10" spans="1:26" s="41" customFormat="1" ht="37.5" customHeight="1" x14ac:dyDescent="0.35">
      <c r="A10" s="100" t="s">
        <v>8</v>
      </c>
      <c r="B10" s="66"/>
      <c r="C10" s="66"/>
      <c r="D10" s="67" t="s">
        <v>9</v>
      </c>
      <c r="E10" s="104"/>
      <c r="F10" s="104"/>
      <c r="G10" s="104"/>
      <c r="H10" s="104"/>
      <c r="I10" s="104"/>
      <c r="J10" s="104"/>
      <c r="K10" s="104"/>
    </row>
    <row r="11" spans="1:26" s="41" customFormat="1" ht="37.5" customHeight="1" x14ac:dyDescent="0.35">
      <c r="A11" s="65" t="s">
        <v>10</v>
      </c>
      <c r="B11" s="66"/>
      <c r="C11" s="66"/>
      <c r="D11" s="102" t="s">
        <v>33</v>
      </c>
      <c r="E11" s="104"/>
      <c r="F11" s="104"/>
      <c r="G11" s="104"/>
      <c r="H11" s="104"/>
      <c r="I11" s="104"/>
      <c r="J11" s="104"/>
      <c r="K11" s="104"/>
    </row>
    <row r="12" spans="1:26" s="41" customFormat="1" ht="37.5" customHeight="1" x14ac:dyDescent="0.35">
      <c r="A12" s="65" t="s">
        <v>11</v>
      </c>
      <c r="B12" s="66"/>
      <c r="C12" s="66"/>
      <c r="D12" s="67" t="s">
        <v>12</v>
      </c>
      <c r="E12" s="67"/>
      <c r="F12" s="67"/>
      <c r="G12" s="67"/>
      <c r="H12" s="67"/>
      <c r="I12" s="67"/>
      <c r="J12" s="67"/>
      <c r="K12" s="67"/>
    </row>
    <row r="13" spans="1:26" ht="6.75" customHeight="1" thickBot="1" x14ac:dyDescent="0.2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</row>
    <row r="14" spans="1:26" s="9" customFormat="1" ht="23.25" customHeight="1" x14ac:dyDescent="0.25">
      <c r="A14" s="37" t="s">
        <v>13</v>
      </c>
      <c r="B14" s="37" t="s">
        <v>14</v>
      </c>
      <c r="C14" s="37" t="s">
        <v>15</v>
      </c>
      <c r="D14" s="37" t="s">
        <v>16</v>
      </c>
      <c r="E14" s="38" t="s">
        <v>17</v>
      </c>
      <c r="F14" s="39" t="s">
        <v>18</v>
      </c>
      <c r="G14" s="39" t="s">
        <v>19</v>
      </c>
      <c r="H14" s="40" t="s">
        <v>20</v>
      </c>
      <c r="I14" s="39" t="s">
        <v>21</v>
      </c>
      <c r="J14" s="68" t="s">
        <v>22</v>
      </c>
      <c r="K14" s="69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s="52" customFormat="1" ht="84.75" customHeight="1" x14ac:dyDescent="0.45">
      <c r="A15" s="42">
        <v>1</v>
      </c>
      <c r="B15" s="43">
        <f t="shared" ref="B15:B46" si="0">+C15</f>
        <v>46276</v>
      </c>
      <c r="C15" s="44">
        <v>46276</v>
      </c>
      <c r="D15" s="45" t="s">
        <v>23</v>
      </c>
      <c r="E15" s="46">
        <v>3</v>
      </c>
      <c r="F15" s="47" t="s">
        <v>57</v>
      </c>
      <c r="G15" s="48" t="s">
        <v>38</v>
      </c>
      <c r="H15" s="49"/>
      <c r="I15" s="50"/>
      <c r="J15" s="70"/>
      <c r="K15" s="7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s="52" customFormat="1" ht="84.75" customHeight="1" x14ac:dyDescent="0.45">
      <c r="A16" s="42">
        <v>2</v>
      </c>
      <c r="B16" s="43">
        <f t="shared" si="0"/>
        <v>46279</v>
      </c>
      <c r="C16" s="44">
        <f>+C15+3</f>
        <v>46279</v>
      </c>
      <c r="D16" s="45" t="s">
        <v>23</v>
      </c>
      <c r="E16" s="46">
        <v>3</v>
      </c>
      <c r="F16" s="47" t="s">
        <v>57</v>
      </c>
      <c r="G16" s="48" t="s">
        <v>36</v>
      </c>
      <c r="H16" s="49"/>
      <c r="I16" s="50"/>
      <c r="J16" s="70"/>
      <c r="K16" s="7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s="52" customFormat="1" ht="84.75" customHeight="1" x14ac:dyDescent="0.45">
      <c r="A17" s="42">
        <v>3</v>
      </c>
      <c r="B17" s="43">
        <f t="shared" si="0"/>
        <v>46280</v>
      </c>
      <c r="C17" s="44">
        <f>+C16+1</f>
        <v>46280</v>
      </c>
      <c r="D17" s="45" t="s">
        <v>23</v>
      </c>
      <c r="E17" s="46">
        <v>3</v>
      </c>
      <c r="F17" s="47" t="s">
        <v>57</v>
      </c>
      <c r="G17" s="48" t="s">
        <v>36</v>
      </c>
      <c r="H17" s="49"/>
      <c r="I17" s="50"/>
      <c r="J17" s="70"/>
      <c r="K17" s="7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s="52" customFormat="1" ht="84.75" customHeight="1" x14ac:dyDescent="0.45">
      <c r="A18" s="42">
        <v>4</v>
      </c>
      <c r="B18" s="43">
        <f t="shared" si="0"/>
        <v>46281</v>
      </c>
      <c r="C18" s="44">
        <f>+C17+1</f>
        <v>46281</v>
      </c>
      <c r="D18" s="45" t="s">
        <v>23</v>
      </c>
      <c r="E18" s="46">
        <v>3</v>
      </c>
      <c r="F18" s="47" t="s">
        <v>57</v>
      </c>
      <c r="G18" s="48" t="s">
        <v>40</v>
      </c>
      <c r="H18" s="49"/>
      <c r="I18" s="50"/>
      <c r="J18" s="70"/>
      <c r="K18" s="7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s="52" customFormat="1" ht="84.75" customHeight="1" x14ac:dyDescent="0.45">
      <c r="A19" s="107">
        <v>5</v>
      </c>
      <c r="B19" s="108">
        <f t="shared" si="0"/>
        <v>46282</v>
      </c>
      <c r="C19" s="109">
        <f>+C18+1</f>
        <v>46282</v>
      </c>
      <c r="D19" s="110" t="s">
        <v>23</v>
      </c>
      <c r="E19" s="111">
        <v>3</v>
      </c>
      <c r="F19" s="112" t="s">
        <v>57</v>
      </c>
      <c r="G19" s="113" t="s">
        <v>35</v>
      </c>
      <c r="H19" s="49"/>
      <c r="I19" s="50"/>
      <c r="J19" s="70"/>
      <c r="K19" s="7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s="52" customFormat="1" ht="84.75" customHeight="1" x14ac:dyDescent="0.45">
      <c r="A20" s="107">
        <v>6</v>
      </c>
      <c r="B20" s="108">
        <f t="shared" si="0"/>
        <v>46283</v>
      </c>
      <c r="C20" s="109">
        <f>+C19+1</f>
        <v>46283</v>
      </c>
      <c r="D20" s="110" t="s">
        <v>23</v>
      </c>
      <c r="E20" s="111">
        <v>3</v>
      </c>
      <c r="F20" s="112" t="s">
        <v>58</v>
      </c>
      <c r="G20" s="113" t="s">
        <v>35</v>
      </c>
      <c r="H20" s="49"/>
      <c r="I20" s="50"/>
      <c r="J20" s="70"/>
      <c r="K20" s="7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s="52" customFormat="1" ht="84.75" customHeight="1" x14ac:dyDescent="0.45">
      <c r="A21" s="107">
        <v>7</v>
      </c>
      <c r="B21" s="108">
        <f t="shared" si="0"/>
        <v>46286</v>
      </c>
      <c r="C21" s="109">
        <f>+C20+3</f>
        <v>46286</v>
      </c>
      <c r="D21" s="110" t="s">
        <v>23</v>
      </c>
      <c r="E21" s="111">
        <v>3</v>
      </c>
      <c r="F21" s="112" t="s">
        <v>58</v>
      </c>
      <c r="G21" s="113" t="s">
        <v>35</v>
      </c>
      <c r="H21" s="49"/>
      <c r="I21" s="50"/>
      <c r="J21" s="70"/>
      <c r="K21" s="7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s="52" customFormat="1" ht="84.75" customHeight="1" x14ac:dyDescent="0.45">
      <c r="A22" s="107">
        <v>8</v>
      </c>
      <c r="B22" s="108">
        <f t="shared" si="0"/>
        <v>46287</v>
      </c>
      <c r="C22" s="109">
        <f>+C21+1</f>
        <v>46287</v>
      </c>
      <c r="D22" s="110" t="s">
        <v>23</v>
      </c>
      <c r="E22" s="111">
        <v>3</v>
      </c>
      <c r="F22" s="112" t="s">
        <v>58</v>
      </c>
      <c r="G22" s="113" t="s">
        <v>35</v>
      </c>
      <c r="H22" s="49"/>
      <c r="I22" s="50"/>
      <c r="J22" s="70"/>
      <c r="K22" s="7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s="52" customFormat="1" ht="84.75" customHeight="1" x14ac:dyDescent="0.45">
      <c r="A23" s="42">
        <v>9</v>
      </c>
      <c r="B23" s="43">
        <f t="shared" si="0"/>
        <v>46288</v>
      </c>
      <c r="C23" s="44">
        <f>+C22+1</f>
        <v>46288</v>
      </c>
      <c r="D23" s="45" t="s">
        <v>23</v>
      </c>
      <c r="E23" s="46">
        <v>3</v>
      </c>
      <c r="F23" s="47" t="s">
        <v>58</v>
      </c>
      <c r="G23" s="48" t="s">
        <v>40</v>
      </c>
      <c r="H23" s="49"/>
      <c r="I23" s="50"/>
      <c r="J23" s="70"/>
      <c r="K23" s="7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s="52" customFormat="1" ht="84.75" customHeight="1" x14ac:dyDescent="0.45">
      <c r="A24" s="42">
        <v>10</v>
      </c>
      <c r="B24" s="43">
        <f t="shared" si="0"/>
        <v>46289</v>
      </c>
      <c r="C24" s="44">
        <f>+C23+1</f>
        <v>46289</v>
      </c>
      <c r="D24" s="45" t="s">
        <v>23</v>
      </c>
      <c r="E24" s="46">
        <v>3</v>
      </c>
      <c r="F24" s="47" t="s">
        <v>58</v>
      </c>
      <c r="G24" s="48" t="s">
        <v>39</v>
      </c>
      <c r="H24" s="49"/>
      <c r="I24" s="50"/>
      <c r="J24" s="70"/>
      <c r="K24" s="7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s="52" customFormat="1" ht="84.75" customHeight="1" x14ac:dyDescent="0.45">
      <c r="A25" s="42">
        <v>11</v>
      </c>
      <c r="B25" s="43">
        <f t="shared" si="0"/>
        <v>46290</v>
      </c>
      <c r="C25" s="44">
        <f>+C24+1</f>
        <v>46290</v>
      </c>
      <c r="D25" s="45" t="s">
        <v>23</v>
      </c>
      <c r="E25" s="46">
        <v>3</v>
      </c>
      <c r="F25" s="47" t="s">
        <v>59</v>
      </c>
      <c r="G25" s="48" t="s">
        <v>39</v>
      </c>
      <c r="H25" s="49"/>
      <c r="I25" s="50"/>
      <c r="J25" s="70"/>
      <c r="K25" s="7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s="52" customFormat="1" ht="84.75" customHeight="1" x14ac:dyDescent="0.45">
      <c r="A26" s="42">
        <v>12</v>
      </c>
      <c r="B26" s="43">
        <f t="shared" si="0"/>
        <v>46293</v>
      </c>
      <c r="C26" s="44">
        <f>+C25+3</f>
        <v>46293</v>
      </c>
      <c r="D26" s="45" t="s">
        <v>23</v>
      </c>
      <c r="E26" s="46">
        <v>3</v>
      </c>
      <c r="F26" s="47" t="s">
        <v>59</v>
      </c>
      <c r="G26" s="48" t="s">
        <v>36</v>
      </c>
      <c r="H26" s="49"/>
      <c r="I26" s="50"/>
      <c r="J26" s="70"/>
      <c r="K26" s="7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s="52" customFormat="1" ht="84.75" customHeight="1" x14ac:dyDescent="0.45">
      <c r="A27" s="107">
        <v>13</v>
      </c>
      <c r="B27" s="108">
        <f t="shared" si="0"/>
        <v>46294</v>
      </c>
      <c r="C27" s="109">
        <f>+C26+1</f>
        <v>46294</v>
      </c>
      <c r="D27" s="110" t="s">
        <v>23</v>
      </c>
      <c r="E27" s="111">
        <v>3</v>
      </c>
      <c r="F27" s="112" t="s">
        <v>59</v>
      </c>
      <c r="G27" s="113" t="s">
        <v>35</v>
      </c>
      <c r="H27" s="49"/>
      <c r="I27" s="50"/>
      <c r="J27" s="70"/>
      <c r="K27" s="7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s="52" customFormat="1" ht="84.75" customHeight="1" x14ac:dyDescent="0.45">
      <c r="A28" s="107">
        <v>14</v>
      </c>
      <c r="B28" s="108">
        <f t="shared" si="0"/>
        <v>46295</v>
      </c>
      <c r="C28" s="109">
        <f>+C27+1</f>
        <v>46295</v>
      </c>
      <c r="D28" s="110" t="s">
        <v>23</v>
      </c>
      <c r="E28" s="111">
        <v>3</v>
      </c>
      <c r="F28" s="112" t="s">
        <v>59</v>
      </c>
      <c r="G28" s="113" t="s">
        <v>35</v>
      </c>
      <c r="H28" s="49"/>
      <c r="I28" s="50"/>
      <c r="J28" s="70"/>
      <c r="K28" s="7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s="52" customFormat="1" ht="84.75" customHeight="1" x14ac:dyDescent="0.45">
      <c r="A29" s="107">
        <v>15</v>
      </c>
      <c r="B29" s="108">
        <f t="shared" si="0"/>
        <v>46296</v>
      </c>
      <c r="C29" s="109">
        <f>+C28+1</f>
        <v>46296</v>
      </c>
      <c r="D29" s="110" t="s">
        <v>23</v>
      </c>
      <c r="E29" s="111">
        <v>3</v>
      </c>
      <c r="F29" s="112" t="s">
        <v>60</v>
      </c>
      <c r="G29" s="113" t="s">
        <v>35</v>
      </c>
      <c r="H29" s="49"/>
      <c r="I29" s="50"/>
      <c r="J29" s="70"/>
      <c r="K29" s="7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s="52" customFormat="1" ht="84.75" customHeight="1" x14ac:dyDescent="0.45">
      <c r="A30" s="107">
        <v>16</v>
      </c>
      <c r="B30" s="108">
        <f t="shared" si="0"/>
        <v>46297</v>
      </c>
      <c r="C30" s="109">
        <f>+C29+1</f>
        <v>46297</v>
      </c>
      <c r="D30" s="110" t="s">
        <v>23</v>
      </c>
      <c r="E30" s="111">
        <v>3</v>
      </c>
      <c r="F30" s="112" t="s">
        <v>60</v>
      </c>
      <c r="G30" s="113" t="s">
        <v>35</v>
      </c>
      <c r="H30" s="49"/>
      <c r="I30" s="50"/>
      <c r="J30" s="70"/>
      <c r="K30" s="7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s="52" customFormat="1" ht="84.75" customHeight="1" x14ac:dyDescent="0.45">
      <c r="A31" s="107">
        <v>17</v>
      </c>
      <c r="B31" s="108">
        <f t="shared" si="0"/>
        <v>46300</v>
      </c>
      <c r="C31" s="109">
        <f>+C30+3</f>
        <v>46300</v>
      </c>
      <c r="D31" s="110" t="s">
        <v>23</v>
      </c>
      <c r="E31" s="111">
        <v>3</v>
      </c>
      <c r="F31" s="112" t="s">
        <v>60</v>
      </c>
      <c r="G31" s="113" t="s">
        <v>35</v>
      </c>
      <c r="H31" s="49"/>
      <c r="I31" s="50"/>
      <c r="J31" s="70"/>
      <c r="K31" s="7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s="52" customFormat="1" ht="84.75" customHeight="1" x14ac:dyDescent="0.45">
      <c r="A32" s="107">
        <v>18</v>
      </c>
      <c r="B32" s="108">
        <f t="shared" si="0"/>
        <v>46301</v>
      </c>
      <c r="C32" s="109">
        <f>+C27+7</f>
        <v>46301</v>
      </c>
      <c r="D32" s="110" t="s">
        <v>23</v>
      </c>
      <c r="E32" s="111">
        <v>3</v>
      </c>
      <c r="F32" s="112" t="s">
        <v>60</v>
      </c>
      <c r="G32" s="113" t="s">
        <v>35</v>
      </c>
      <c r="H32" s="49"/>
      <c r="I32" s="50"/>
      <c r="J32" s="70"/>
      <c r="K32" s="7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s="52" customFormat="1" ht="84.75" customHeight="1" x14ac:dyDescent="0.45">
      <c r="A33" s="107">
        <v>19</v>
      </c>
      <c r="B33" s="108">
        <f t="shared" si="0"/>
        <v>46302</v>
      </c>
      <c r="C33" s="109">
        <f>+C32+1</f>
        <v>46302</v>
      </c>
      <c r="D33" s="110" t="s">
        <v>23</v>
      </c>
      <c r="E33" s="111">
        <v>3</v>
      </c>
      <c r="F33" s="112" t="s">
        <v>60</v>
      </c>
      <c r="G33" s="113" t="s">
        <v>35</v>
      </c>
      <c r="H33" s="49"/>
      <c r="I33" s="50"/>
      <c r="J33" s="70"/>
      <c r="K33" s="7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s="52" customFormat="1" ht="84.75" customHeight="1" x14ac:dyDescent="0.45">
      <c r="A34" s="107">
        <v>20</v>
      </c>
      <c r="B34" s="108">
        <f t="shared" si="0"/>
        <v>46303</v>
      </c>
      <c r="C34" s="109">
        <f>+C33+1</f>
        <v>46303</v>
      </c>
      <c r="D34" s="110" t="s">
        <v>23</v>
      </c>
      <c r="E34" s="111">
        <v>3</v>
      </c>
      <c r="F34" s="112" t="s">
        <v>61</v>
      </c>
      <c r="G34" s="113" t="s">
        <v>35</v>
      </c>
      <c r="H34" s="49"/>
      <c r="I34" s="50"/>
      <c r="J34" s="70"/>
      <c r="K34" s="7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s="52" customFormat="1" ht="84.75" customHeight="1" x14ac:dyDescent="0.45">
      <c r="A35" s="107">
        <v>21</v>
      </c>
      <c r="B35" s="108">
        <f t="shared" si="0"/>
        <v>46304</v>
      </c>
      <c r="C35" s="109">
        <f>+C34+1</f>
        <v>46304</v>
      </c>
      <c r="D35" s="110" t="s">
        <v>23</v>
      </c>
      <c r="E35" s="111">
        <v>3</v>
      </c>
      <c r="F35" s="112" t="s">
        <v>61</v>
      </c>
      <c r="G35" s="113" t="s">
        <v>35</v>
      </c>
      <c r="H35" s="49"/>
      <c r="I35" s="50"/>
      <c r="J35" s="70"/>
      <c r="K35" s="7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s="56" customFormat="1" ht="84.75" customHeight="1" x14ac:dyDescent="0.45">
      <c r="A36" s="42">
        <v>22</v>
      </c>
      <c r="B36" s="53">
        <f t="shared" si="0"/>
        <v>46308</v>
      </c>
      <c r="C36" s="54">
        <f>+C35+4</f>
        <v>46308</v>
      </c>
      <c r="D36" s="45" t="s">
        <v>23</v>
      </c>
      <c r="E36" s="46">
        <v>3</v>
      </c>
      <c r="F36" s="47" t="s">
        <v>61</v>
      </c>
      <c r="G36" s="48" t="s">
        <v>39</v>
      </c>
      <c r="H36" s="49"/>
      <c r="I36" s="50"/>
      <c r="J36" s="96"/>
      <c r="K36" s="97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s="56" customFormat="1" ht="84.75" customHeight="1" x14ac:dyDescent="0.45">
      <c r="A37" s="42">
        <v>23</v>
      </c>
      <c r="B37" s="43">
        <f t="shared" si="0"/>
        <v>46309</v>
      </c>
      <c r="C37" s="44">
        <f>+C36+1</f>
        <v>46309</v>
      </c>
      <c r="D37" s="45" t="s">
        <v>23</v>
      </c>
      <c r="E37" s="46">
        <v>3</v>
      </c>
      <c r="F37" s="47" t="s">
        <v>61</v>
      </c>
      <c r="G37" s="48" t="s">
        <v>39</v>
      </c>
      <c r="H37" s="49"/>
      <c r="I37" s="50"/>
      <c r="J37" s="96"/>
      <c r="K37" s="97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s="56" customFormat="1" ht="84.75" customHeight="1" x14ac:dyDescent="0.45">
      <c r="A38" s="42">
        <v>24</v>
      </c>
      <c r="B38" s="43">
        <f t="shared" si="0"/>
        <v>46310</v>
      </c>
      <c r="C38" s="44">
        <f>+C37+1</f>
        <v>46310</v>
      </c>
      <c r="D38" s="45" t="s">
        <v>23</v>
      </c>
      <c r="E38" s="46">
        <v>3</v>
      </c>
      <c r="F38" s="47" t="s">
        <v>61</v>
      </c>
      <c r="G38" s="48" t="s">
        <v>40</v>
      </c>
      <c r="H38" s="49"/>
      <c r="I38" s="50"/>
      <c r="J38" s="96"/>
      <c r="K38" s="97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s="56" customFormat="1" ht="84.75" customHeight="1" x14ac:dyDescent="0.45">
      <c r="A39" s="42">
        <v>25</v>
      </c>
      <c r="B39" s="43">
        <f t="shared" si="0"/>
        <v>46311</v>
      </c>
      <c r="C39" s="44">
        <f>+C38+1</f>
        <v>46311</v>
      </c>
      <c r="D39" s="45" t="s">
        <v>23</v>
      </c>
      <c r="E39" s="46">
        <v>3</v>
      </c>
      <c r="F39" s="47" t="s">
        <v>61</v>
      </c>
      <c r="G39" s="48" t="s">
        <v>38</v>
      </c>
      <c r="H39" s="49"/>
      <c r="I39" s="50"/>
      <c r="J39" s="96"/>
      <c r="K39" s="97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s="56" customFormat="1" ht="84.75" customHeight="1" x14ac:dyDescent="0.45">
      <c r="A40" s="42">
        <v>26</v>
      </c>
      <c r="B40" s="43">
        <f t="shared" si="0"/>
        <v>46314</v>
      </c>
      <c r="C40" s="44">
        <f>+C39+3</f>
        <v>46314</v>
      </c>
      <c r="D40" s="45" t="s">
        <v>23</v>
      </c>
      <c r="E40" s="46">
        <v>3</v>
      </c>
      <c r="F40" s="47" t="s">
        <v>62</v>
      </c>
      <c r="G40" s="48" t="s">
        <v>40</v>
      </c>
      <c r="H40" s="49"/>
      <c r="I40" s="50"/>
      <c r="J40" s="96"/>
      <c r="K40" s="97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s="56" customFormat="1" ht="84.75" customHeight="1" x14ac:dyDescent="0.45">
      <c r="A41" s="42">
        <v>27</v>
      </c>
      <c r="B41" s="43">
        <f t="shared" si="0"/>
        <v>46315</v>
      </c>
      <c r="C41" s="44">
        <f>+C40+1</f>
        <v>46315</v>
      </c>
      <c r="D41" s="45" t="s">
        <v>23</v>
      </c>
      <c r="E41" s="46">
        <v>3</v>
      </c>
      <c r="F41" s="47" t="s">
        <v>62</v>
      </c>
      <c r="G41" s="48" t="s">
        <v>40</v>
      </c>
      <c r="H41" s="49"/>
      <c r="I41" s="50"/>
      <c r="J41" s="96"/>
      <c r="K41" s="97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s="52" customFormat="1" ht="84.75" customHeight="1" x14ac:dyDescent="0.45">
      <c r="A42" s="42">
        <v>28</v>
      </c>
      <c r="B42" s="43">
        <f t="shared" si="0"/>
        <v>46316</v>
      </c>
      <c r="C42" s="44">
        <f>+C41+1</f>
        <v>46316</v>
      </c>
      <c r="D42" s="45" t="s">
        <v>23</v>
      </c>
      <c r="E42" s="46">
        <v>3</v>
      </c>
      <c r="F42" s="47" t="s">
        <v>62</v>
      </c>
      <c r="G42" s="48" t="s">
        <v>36</v>
      </c>
      <c r="H42" s="49"/>
      <c r="I42" s="50"/>
      <c r="J42" s="70"/>
      <c r="K42" s="7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s="52" customFormat="1" ht="84.75" customHeight="1" x14ac:dyDescent="0.45">
      <c r="A43" s="42">
        <v>29</v>
      </c>
      <c r="B43" s="43">
        <f t="shared" si="0"/>
        <v>46317</v>
      </c>
      <c r="C43" s="44">
        <f>+C42+1</f>
        <v>46317</v>
      </c>
      <c r="D43" s="45" t="s">
        <v>23</v>
      </c>
      <c r="E43" s="46">
        <v>3</v>
      </c>
      <c r="F43" s="47" t="s">
        <v>63</v>
      </c>
      <c r="G43" s="48" t="s">
        <v>36</v>
      </c>
      <c r="H43" s="49"/>
      <c r="I43" s="50"/>
      <c r="J43" s="70"/>
      <c r="K43" s="7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s="52" customFormat="1" ht="84.75" customHeight="1" x14ac:dyDescent="0.45">
      <c r="A44" s="42">
        <v>30</v>
      </c>
      <c r="B44" s="43">
        <f t="shared" si="0"/>
        <v>46318</v>
      </c>
      <c r="C44" s="44">
        <f>+C43+1</f>
        <v>46318</v>
      </c>
      <c r="D44" s="45" t="s">
        <v>23</v>
      </c>
      <c r="E44" s="46">
        <v>3</v>
      </c>
      <c r="F44" s="47" t="s">
        <v>63</v>
      </c>
      <c r="G44" s="48" t="s">
        <v>36</v>
      </c>
      <c r="H44" s="49"/>
      <c r="I44" s="50"/>
      <c r="J44" s="70"/>
      <c r="K44" s="7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s="52" customFormat="1" ht="84.75" customHeight="1" x14ac:dyDescent="0.45">
      <c r="A45" s="42">
        <v>31</v>
      </c>
      <c r="B45" s="43">
        <f t="shared" si="0"/>
        <v>46321</v>
      </c>
      <c r="C45" s="44">
        <f>+C44+3</f>
        <v>46321</v>
      </c>
      <c r="D45" s="45" t="s">
        <v>23</v>
      </c>
      <c r="E45" s="46">
        <v>3</v>
      </c>
      <c r="F45" s="47" t="s">
        <v>63</v>
      </c>
      <c r="G45" s="50" t="s">
        <v>37</v>
      </c>
      <c r="H45" s="49"/>
      <c r="I45" s="50"/>
      <c r="J45" s="70"/>
      <c r="K45" s="7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s="52" customFormat="1" ht="84.75" customHeight="1" x14ac:dyDescent="0.45">
      <c r="A46" s="42">
        <v>32</v>
      </c>
      <c r="B46" s="43">
        <f t="shared" si="0"/>
        <v>46322</v>
      </c>
      <c r="C46" s="44">
        <f>+C45+1</f>
        <v>46322</v>
      </c>
      <c r="D46" s="45" t="s">
        <v>23</v>
      </c>
      <c r="E46" s="46">
        <v>3</v>
      </c>
      <c r="F46" s="47" t="s">
        <v>63</v>
      </c>
      <c r="G46" s="50" t="s">
        <v>37</v>
      </c>
      <c r="H46" s="49"/>
      <c r="I46" s="50"/>
      <c r="J46" s="70"/>
      <c r="K46" s="7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s="18" customFormat="1" ht="36" customHeight="1" thickBot="1" x14ac:dyDescent="0.4">
      <c r="A47" s="72" t="s">
        <v>24</v>
      </c>
      <c r="B47" s="73"/>
      <c r="C47" s="73"/>
      <c r="D47" s="74"/>
      <c r="E47" s="19">
        <f>SUM(E15:E46)</f>
        <v>96</v>
      </c>
      <c r="F47" s="20"/>
      <c r="G47" s="20"/>
      <c r="H47" s="21"/>
      <c r="I47" s="21"/>
      <c r="J47" s="22"/>
      <c r="K47" s="23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6" customHeight="1" thickBot="1" x14ac:dyDescent="0.25">
      <c r="A48" s="6"/>
      <c r="B48" s="6"/>
      <c r="C48" s="6"/>
      <c r="D48" s="6"/>
      <c r="E48" s="6"/>
      <c r="F48" s="6"/>
      <c r="G48" s="7"/>
      <c r="H48" s="7"/>
      <c r="I48" s="7"/>
      <c r="J48" s="7"/>
      <c r="K48" s="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75" t="s">
        <v>25</v>
      </c>
      <c r="C49" s="76"/>
      <c r="D49" s="76"/>
      <c r="E49" s="76"/>
      <c r="F49" s="76"/>
      <c r="G49" s="76"/>
      <c r="H49" s="76"/>
      <c r="I49" s="76"/>
      <c r="J49" s="76"/>
      <c r="K49" s="7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s="11" customFormat="1" ht="27.75" customHeight="1" x14ac:dyDescent="0.3">
      <c r="A50" s="14"/>
      <c r="B50" s="78" t="s">
        <v>26</v>
      </c>
      <c r="C50" s="79"/>
      <c r="D50" s="79"/>
      <c r="E50" s="79"/>
      <c r="F50" s="105" t="s">
        <v>27</v>
      </c>
      <c r="G50" s="79"/>
      <c r="H50" s="105" t="s">
        <v>28</v>
      </c>
      <c r="I50" s="79"/>
      <c r="J50" s="79"/>
      <c r="K50" s="106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s="25" customFormat="1" ht="37.5" customHeight="1" x14ac:dyDescent="0.2">
      <c r="A51" s="24"/>
      <c r="B51" s="78" t="s">
        <v>44</v>
      </c>
      <c r="C51" s="79"/>
      <c r="D51" s="79"/>
      <c r="E51" s="79"/>
      <c r="F51" s="84">
        <v>3176352066</v>
      </c>
      <c r="G51" s="79"/>
      <c r="H51" s="85" t="s">
        <v>43</v>
      </c>
      <c r="I51" s="86"/>
      <c r="J51" s="86"/>
      <c r="K51" s="87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s="25" customFormat="1" ht="37.5" customHeight="1" x14ac:dyDescent="0.2">
      <c r="A52" s="24"/>
      <c r="B52" s="78" t="s">
        <v>47</v>
      </c>
      <c r="C52" s="79"/>
      <c r="D52" s="79"/>
      <c r="E52" s="79"/>
      <c r="F52" s="84">
        <v>3184280112</v>
      </c>
      <c r="G52" s="79"/>
      <c r="H52" s="85" t="s">
        <v>48</v>
      </c>
      <c r="I52" s="86"/>
      <c r="J52" s="86"/>
      <c r="K52" s="87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s="25" customFormat="1" ht="37.5" customHeight="1" x14ac:dyDescent="0.2">
      <c r="A53" s="24"/>
      <c r="B53" s="83" t="s">
        <v>41</v>
      </c>
      <c r="C53" s="79"/>
      <c r="D53" s="79"/>
      <c r="E53" s="79"/>
      <c r="F53" s="84">
        <v>3216443492</v>
      </c>
      <c r="G53" s="79"/>
      <c r="H53" s="85" t="s">
        <v>42</v>
      </c>
      <c r="I53" s="86"/>
      <c r="J53" s="86"/>
      <c r="K53" s="87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s="25" customFormat="1" ht="37.5" customHeight="1" x14ac:dyDescent="0.2">
      <c r="A54" s="24"/>
      <c r="B54" s="78" t="s">
        <v>45</v>
      </c>
      <c r="C54" s="79"/>
      <c r="D54" s="79"/>
      <c r="E54" s="79"/>
      <c r="F54" s="84">
        <v>3217223119</v>
      </c>
      <c r="G54" s="79"/>
      <c r="H54" s="85" t="s">
        <v>46</v>
      </c>
      <c r="I54" s="86"/>
      <c r="J54" s="86"/>
      <c r="K54" s="87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s="25" customFormat="1" ht="37.5" customHeight="1" x14ac:dyDescent="0.2">
      <c r="A55" s="24"/>
      <c r="B55" s="78" t="s">
        <v>49</v>
      </c>
      <c r="C55" s="79"/>
      <c r="D55" s="79"/>
      <c r="E55" s="79"/>
      <c r="F55" s="84">
        <v>3184009735</v>
      </c>
      <c r="G55" s="79"/>
      <c r="H55" s="85" t="s">
        <v>50</v>
      </c>
      <c r="I55" s="86"/>
      <c r="J55" s="86"/>
      <c r="K55" s="87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s="25" customFormat="1" ht="37.5" customHeight="1" thickBot="1" x14ac:dyDescent="0.25">
      <c r="A56" s="24"/>
      <c r="B56" s="88" t="s">
        <v>51</v>
      </c>
      <c r="C56" s="89"/>
      <c r="D56" s="89"/>
      <c r="E56" s="89"/>
      <c r="F56" s="90">
        <v>3015473590</v>
      </c>
      <c r="G56" s="89"/>
      <c r="H56" s="91" t="s">
        <v>52</v>
      </c>
      <c r="I56" s="92"/>
      <c r="J56" s="92"/>
      <c r="K56" s="93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s="11" customFormat="1" ht="27.75" customHeight="1" x14ac:dyDescent="0.3">
      <c r="A57" s="14"/>
      <c r="B57" s="94"/>
      <c r="C57" s="81"/>
      <c r="D57" s="81"/>
      <c r="E57" s="81"/>
      <c r="F57" s="81"/>
      <c r="G57" s="81"/>
      <c r="H57" s="81"/>
      <c r="I57" s="81"/>
      <c r="J57" s="81"/>
      <c r="K57" s="81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s="16" customFormat="1" ht="27.75" customHeight="1" x14ac:dyDescent="0.25">
      <c r="A58" s="14"/>
      <c r="B58" s="26" t="s">
        <v>10</v>
      </c>
      <c r="C58" s="80" t="str">
        <f>+D11</f>
        <v>96 HORAS DEL 11 DE SEPTIEMBRE AL 27 DE OCTUBRE DEL 2026</v>
      </c>
      <c r="D58" s="95"/>
      <c r="E58" s="95"/>
      <c r="F58" s="95"/>
      <c r="G58" s="95"/>
      <c r="H58" s="95"/>
      <c r="I58" s="95"/>
      <c r="J58" s="95"/>
      <c r="K58" s="95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s="16" customFormat="1" ht="27.75" customHeight="1" x14ac:dyDescent="0.25">
      <c r="A59" s="14"/>
      <c r="B59" s="26" t="s">
        <v>29</v>
      </c>
      <c r="C59" s="27" t="s">
        <v>30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s="11" customFormat="1" ht="27.75" customHeight="1" x14ac:dyDescent="0.3">
      <c r="A60" s="14"/>
      <c r="B60" s="28"/>
      <c r="C60" s="29"/>
      <c r="D60" s="29"/>
      <c r="E60" s="29"/>
      <c r="F60" s="29"/>
      <c r="G60" s="30"/>
      <c r="H60" s="29"/>
      <c r="I60" s="29"/>
      <c r="J60" s="29"/>
      <c r="K60" s="29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s="11" customFormat="1" ht="27.75" customHeight="1" x14ac:dyDescent="0.3">
      <c r="A61" s="14"/>
      <c r="B61" s="26" t="s">
        <v>31</v>
      </c>
      <c r="C61" s="80"/>
      <c r="D61" s="81"/>
      <c r="E61" s="81"/>
      <c r="F61" s="81"/>
      <c r="G61" s="81"/>
      <c r="H61" s="81"/>
      <c r="I61" s="81"/>
      <c r="J61" s="81"/>
      <c r="K61" s="81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s="11" customFormat="1" ht="27.75" customHeight="1" x14ac:dyDescent="0.3">
      <c r="A62" s="14"/>
      <c r="B62" s="31" t="s">
        <v>53</v>
      </c>
      <c r="E62" s="82"/>
      <c r="F62" s="81"/>
      <c r="G62" s="33"/>
      <c r="H62" s="34"/>
      <c r="I62" s="32"/>
      <c r="J62" s="32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s="11" customFormat="1" ht="27.75" customHeight="1" x14ac:dyDescent="0.3">
      <c r="B63" s="35" t="s">
        <v>54</v>
      </c>
      <c r="G63" s="12"/>
    </row>
    <row r="64" spans="1:26" s="11" customFormat="1" ht="27.75" customHeight="1" x14ac:dyDescent="0.3">
      <c r="B64" s="35" t="s">
        <v>55</v>
      </c>
      <c r="G64" s="12"/>
      <c r="K64" s="36" t="s">
        <v>32</v>
      </c>
    </row>
    <row r="65" spans="2:7" s="11" customFormat="1" ht="27.75" customHeight="1" x14ac:dyDescent="0.3">
      <c r="B65" s="35" t="s">
        <v>56</v>
      </c>
      <c r="G65" s="12"/>
    </row>
    <row r="66" spans="2:7" ht="12.75" customHeight="1" x14ac:dyDescent="0.2"/>
    <row r="67" spans="2:7" ht="12.75" customHeight="1" x14ac:dyDescent="0.2"/>
    <row r="68" spans="2:7" ht="12.75" customHeight="1" x14ac:dyDescent="0.2"/>
    <row r="69" spans="2:7" ht="12.75" customHeight="1" x14ac:dyDescent="0.2"/>
    <row r="70" spans="2:7" ht="12.75" customHeight="1" x14ac:dyDescent="0.2"/>
    <row r="71" spans="2:7" ht="12.75" customHeight="1" x14ac:dyDescent="0.2"/>
    <row r="72" spans="2:7" ht="12.75" customHeight="1" x14ac:dyDescent="0.2"/>
    <row r="73" spans="2:7" ht="12.75" customHeight="1" x14ac:dyDescent="0.2"/>
    <row r="74" spans="2:7" ht="12.75" customHeight="1" x14ac:dyDescent="0.2"/>
    <row r="75" spans="2:7" ht="12.75" customHeight="1" x14ac:dyDescent="0.2"/>
    <row r="76" spans="2:7" ht="12.75" customHeight="1" x14ac:dyDescent="0.2"/>
    <row r="77" spans="2:7" ht="12.75" customHeight="1" x14ac:dyDescent="0.2"/>
    <row r="78" spans="2:7" ht="12.75" customHeight="1" x14ac:dyDescent="0.2"/>
    <row r="79" spans="2:7" ht="12.75" customHeight="1" x14ac:dyDescent="0.2"/>
    <row r="80" spans="2:7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</sheetData>
  <autoFilter ref="A14:K47" xr:uid="{00000000-0009-0000-0000-000000000000}">
    <filterColumn colId="9" showButton="0"/>
  </autoFilter>
  <mergeCells count="74">
    <mergeCell ref="J32:K32"/>
    <mergeCell ref="J33:K33"/>
    <mergeCell ref="J38:K38"/>
    <mergeCell ref="J39:K39"/>
    <mergeCell ref="J31:K31"/>
    <mergeCell ref="J34:K34"/>
    <mergeCell ref="J35:K35"/>
    <mergeCell ref="J45:K45"/>
    <mergeCell ref="J46:K46"/>
    <mergeCell ref="F50:G50"/>
    <mergeCell ref="H50:K50"/>
    <mergeCell ref="J44:K44"/>
    <mergeCell ref="J40:K40"/>
    <mergeCell ref="J41:K41"/>
    <mergeCell ref="J36:K36"/>
    <mergeCell ref="J37:K37"/>
    <mergeCell ref="A4:J5"/>
    <mergeCell ref="A6:K6"/>
    <mergeCell ref="A7:C7"/>
    <mergeCell ref="D7:K7"/>
    <mergeCell ref="A8:C8"/>
    <mergeCell ref="D8:K8"/>
    <mergeCell ref="A9:C9"/>
    <mergeCell ref="D9:K9"/>
    <mergeCell ref="A10:C10"/>
    <mergeCell ref="D10:K10"/>
    <mergeCell ref="A11:C11"/>
    <mergeCell ref="D11:K11"/>
    <mergeCell ref="B51:E51"/>
    <mergeCell ref="F51:G51"/>
    <mergeCell ref="H51:K51"/>
    <mergeCell ref="B57:K57"/>
    <mergeCell ref="C58:K58"/>
    <mergeCell ref="B52:E52"/>
    <mergeCell ref="F52:G52"/>
    <mergeCell ref="H52:K52"/>
    <mergeCell ref="F55:G55"/>
    <mergeCell ref="H55:K55"/>
    <mergeCell ref="C61:K61"/>
    <mergeCell ref="E62:F62"/>
    <mergeCell ref="B53:E53"/>
    <mergeCell ref="F53:G53"/>
    <mergeCell ref="H53:K53"/>
    <mergeCell ref="B54:E54"/>
    <mergeCell ref="F54:G54"/>
    <mergeCell ref="H54:K54"/>
    <mergeCell ref="B55:E55"/>
    <mergeCell ref="B56:E56"/>
    <mergeCell ref="F56:G56"/>
    <mergeCell ref="H56:K56"/>
    <mergeCell ref="A47:D47"/>
    <mergeCell ref="B49:K49"/>
    <mergeCell ref="B50:E50"/>
    <mergeCell ref="J15:K15"/>
    <mergeCell ref="J16:K16"/>
    <mergeCell ref="J30:K30"/>
    <mergeCell ref="J25:K25"/>
    <mergeCell ref="J26:K26"/>
    <mergeCell ref="J29:K29"/>
    <mergeCell ref="J20:K20"/>
    <mergeCell ref="J21:K21"/>
    <mergeCell ref="J42:K42"/>
    <mergeCell ref="J27:K27"/>
    <mergeCell ref="J28:K28"/>
    <mergeCell ref="J24:K24"/>
    <mergeCell ref="J43:K43"/>
    <mergeCell ref="A12:C12"/>
    <mergeCell ref="D12:K12"/>
    <mergeCell ref="J14:K14"/>
    <mergeCell ref="J22:K22"/>
    <mergeCell ref="J23:K23"/>
    <mergeCell ref="J17:K17"/>
    <mergeCell ref="J18:K18"/>
    <mergeCell ref="J19:K19"/>
  </mergeCells>
  <hyperlinks>
    <hyperlink ref="H56" r:id="rId1" xr:uid="{E7B8695D-79AA-48B3-B11E-B2916D6FCE04}"/>
    <hyperlink ref="H55" r:id="rId2" xr:uid="{2D11700D-0D4A-4B4A-B2BC-4F31BF4CDDF8}"/>
    <hyperlink ref="H52" r:id="rId3" xr:uid="{EF1412C1-B3AA-4949-ABB9-46A51BE54CC1}"/>
    <hyperlink ref="H54" r:id="rId4" xr:uid="{05A1ED32-D26A-454C-898F-9530445F0121}"/>
    <hyperlink ref="H51" r:id="rId5" xr:uid="{434CA65B-9F90-436E-AC4E-D4752DC960DE}"/>
    <hyperlink ref="H53" r:id="rId6" xr:uid="{63702DF1-0E30-4E36-A505-C182E483BB85}"/>
  </hyperlinks>
  <pageMargins left="1.299212598425197" right="0.78740157480314965" top="0.39370078740157483" bottom="0.39370078740157483" header="0" footer="0"/>
  <pageSetup scale="19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</vt:lpstr>
      <vt:lpstr>Cronograma!Área_de_impresión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Oscar Ivan Vargas Pineda</cp:lastModifiedBy>
  <cp:revision/>
  <cp:lastPrinted>2026-09-10T15:30:06Z</cp:lastPrinted>
  <dcterms:created xsi:type="dcterms:W3CDTF">1996-11-27T10:00:04Z</dcterms:created>
  <dcterms:modified xsi:type="dcterms:W3CDTF">2026-09-13T19:11:59Z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2026-07-23T17:36:39Z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6282ce1b-4000-400d-8019-7bdb81f3fd68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