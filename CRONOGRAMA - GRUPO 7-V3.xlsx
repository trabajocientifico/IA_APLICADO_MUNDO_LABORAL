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I:\Mi unidad\GITHUB\trabajocientifico\IA_APLICADO_MUNDO_LABORAL\"/>
    </mc:Choice>
  </mc:AlternateContent>
  <xr:revisionPtr revIDLastSave="0" documentId="13_ncr:1_{0FE6ED12-F37D-4735-82D5-C98377C4189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ronograma" sheetId="2" r:id="rId1"/>
  </sheets>
  <definedNames>
    <definedName name="_xlnm._FilterDatabase" localSheetId="0" hidden="1">Cronograma!$A$14:$K$55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7" i="2" l="1"/>
  <c r="C16" i="2" l="1"/>
  <c r="B16" i="2" s="1"/>
  <c r="E47" i="2"/>
  <c r="B15" i="2"/>
  <c r="C17" i="2" l="1"/>
  <c r="C57" i="2"/>
  <c r="C18" i="2" l="1"/>
  <c r="B17" i="2"/>
  <c r="B18" i="2" l="1"/>
  <c r="C19" i="2"/>
  <c r="C20" i="2" s="1"/>
  <c r="C21" i="2" s="1"/>
  <c r="B19" i="2" l="1"/>
  <c r="B20" i="2" l="1"/>
  <c r="C22" i="2" l="1"/>
  <c r="B21" i="2"/>
  <c r="B22" i="2" l="1"/>
  <c r="C23" i="2"/>
  <c r="C24" i="2" l="1"/>
  <c r="C25" i="2" s="1"/>
  <c r="C26" i="2" s="1"/>
  <c r="B23" i="2"/>
  <c r="B24" i="2" l="1"/>
  <c r="B25" i="2" l="1"/>
  <c r="B26" i="2" l="1"/>
  <c r="C27" i="2"/>
  <c r="C32" i="2" l="1"/>
  <c r="C28" i="2"/>
  <c r="B27" i="2"/>
  <c r="B28" i="2" l="1"/>
  <c r="C29" i="2"/>
  <c r="C30" i="2" s="1"/>
  <c r="C31" i="2" s="1"/>
  <c r="B32" i="2"/>
  <c r="C33" i="2"/>
  <c r="C34" i="2" l="1"/>
  <c r="C35" i="2" s="1"/>
  <c r="C36" i="2" s="1"/>
  <c r="B33" i="2"/>
  <c r="B29" i="2"/>
  <c r="B30" i="2" l="1"/>
  <c r="B31" i="2"/>
  <c r="B34" i="2"/>
  <c r="B35" i="2" l="1"/>
  <c r="B36" i="2" l="1"/>
  <c r="C37" i="2"/>
  <c r="C38" i="2" l="1"/>
  <c r="B37" i="2"/>
  <c r="B38" i="2" l="1"/>
  <c r="C39" i="2"/>
  <c r="C40" i="2" s="1"/>
  <c r="B39" i="2" l="1"/>
  <c r="B40" i="2" l="1"/>
  <c r="C41" i="2"/>
  <c r="C42" i="2" l="1"/>
  <c r="B41" i="2"/>
  <c r="B42" i="2" l="1"/>
  <c r="C43" i="2"/>
  <c r="C44" i="2" s="1"/>
  <c r="C45" i="2" s="1"/>
  <c r="B45" i="2" l="1"/>
  <c r="C46" i="2"/>
  <c r="B46" i="2" s="1"/>
  <c r="B44" i="2"/>
  <c r="B43" i="2"/>
</calcChain>
</file>

<file path=xl/sharedStrings.xml><?xml version="1.0" encoding="utf-8"?>
<sst xmlns="http://schemas.openxmlformats.org/spreadsheetml/2006/main" count="142" uniqueCount="55">
  <si>
    <t>Rectoría</t>
  </si>
  <si>
    <t>Dirección de Relaciones con el Entorno</t>
  </si>
  <si>
    <t>CRONOGRAMA DE ACTIVIDADES</t>
  </si>
  <si>
    <t xml:space="preserve">DEPARTAMENTO:    </t>
  </si>
  <si>
    <t>DIRECCIÓN DE RELACIÓN CON EL ENTORNO</t>
  </si>
  <si>
    <t xml:space="preserve">TIPO DE ACTIVIDAD:  </t>
  </si>
  <si>
    <t>DIPLOMADO</t>
  </si>
  <si>
    <t xml:space="preserve">NOMBRE DE LA ACTIVIDAD: </t>
  </si>
  <si>
    <t xml:space="preserve">EMPRESA: </t>
  </si>
  <si>
    <t>COMFANDI - CAJA DE COMPENSACION FAMILIAR VALLE DEL CAUCA COMFAMILIAR ANDI</t>
  </si>
  <si>
    <t>DURACIÓN:</t>
  </si>
  <si>
    <t>LUGAR:</t>
  </si>
  <si>
    <t>ONLINE POR LA PLATAFORMA CISCO WEBEX DE LA UNIVERSIDAD AUTÓNOMA DE OCCIDENTE</t>
  </si>
  <si>
    <t xml:space="preserve"> Días</t>
  </si>
  <si>
    <t>DIA</t>
  </si>
  <si>
    <t>FECHA</t>
  </si>
  <si>
    <t>HORA</t>
  </si>
  <si>
    <t>Total Horas</t>
  </si>
  <si>
    <t>Módulo</t>
  </si>
  <si>
    <t>Docente</t>
  </si>
  <si>
    <t>Total horas Docente</t>
  </si>
  <si>
    <t>Espacios Requeridos</t>
  </si>
  <si>
    <t>OBSERVACIONES</t>
  </si>
  <si>
    <t>6:00 pm a 9:00 pm</t>
  </si>
  <si>
    <t>TOTAL HORAS</t>
  </si>
  <si>
    <t>DATOS DOCENTE:</t>
  </si>
  <si>
    <t>NOMBRE DOCENTE</t>
  </si>
  <si>
    <t>NÚMERO CELULAR</t>
  </si>
  <si>
    <t>E-MAIL</t>
  </si>
  <si>
    <t>HORARIO:</t>
  </si>
  <si>
    <t>Lunes, martes, miercoles, jueves y viernes de 6:00 pm a 9:00 pm</t>
  </si>
  <si>
    <t>CONTACTOS:</t>
  </si>
  <si>
    <t>Versión: 0</t>
  </si>
  <si>
    <t>96 HORAS DEL 11 DE SEPTIEMBRE AL 27 DE OCTUBRE DEL 2026</t>
  </si>
  <si>
    <r>
      <t>MÓDULO I:</t>
    </r>
    <r>
      <rPr>
        <sz val="10"/>
        <color rgb="FF000000"/>
        <rFont val="Arial"/>
        <family val="2"/>
      </rPr>
      <t xml:space="preserve"> Fundamentos y Panorama de la IA (IAG vs IAD y tendencias) </t>
    </r>
  </si>
  <si>
    <r>
      <t>MÓDULO II:</t>
    </r>
    <r>
      <rPr>
        <sz val="10"/>
        <color rgb="FF000000"/>
        <rFont val="Arial"/>
        <family val="2"/>
      </rPr>
      <t xml:space="preserve"> Ingeniería de Prompt y Comunicación con IA </t>
    </r>
  </si>
  <si>
    <r>
      <t>MÓDULO III:</t>
    </r>
    <r>
      <rPr>
        <sz val="10"/>
        <color rgb="FF000000"/>
        <rFont val="Arial"/>
        <family val="2"/>
      </rPr>
      <t xml:space="preserve"> Ética, Normativa y Uso Responsable de la IA </t>
    </r>
  </si>
  <si>
    <r>
      <t>MÓDULO IV:</t>
    </r>
    <r>
      <rPr>
        <sz val="10"/>
        <color rgb="FF000000"/>
        <rFont val="Arial"/>
        <family val="2"/>
      </rPr>
      <t xml:space="preserve"> Automatización y Gestión de Datos con IA </t>
    </r>
  </si>
  <si>
    <r>
      <t>MÓDULO V:</t>
    </r>
    <r>
      <rPr>
        <sz val="10"/>
        <color rgb="FF000000"/>
        <rFont val="Arial"/>
        <family val="2"/>
      </rPr>
      <t xml:space="preserve"> Creación de Agentes Inteligentes </t>
    </r>
  </si>
  <si>
    <r>
      <t>MÓDULO VI:</t>
    </r>
    <r>
      <rPr>
        <sz val="10"/>
        <color rgb="FF000000"/>
        <rFont val="Arial"/>
        <family val="2"/>
      </rPr>
      <t xml:space="preserve"> Desarrollo e integración Entornos Web con IA </t>
    </r>
  </si>
  <si>
    <r>
      <t>MÓDULO VII:</t>
    </r>
    <r>
      <rPr>
        <sz val="10"/>
        <color rgb="FF000000"/>
        <rFont val="Arial"/>
        <family val="2"/>
      </rPr>
      <t xml:space="preserve"> Casos practico grupal </t>
    </r>
  </si>
  <si>
    <t>Oscar Ivan Vargas</t>
  </si>
  <si>
    <t>Juan Pablo Enriquez</t>
  </si>
  <si>
    <t>INTELIGENCIA ARTIFICIAL APLICADA AL MUNDO LABORAL - GRUPO 7</t>
  </si>
  <si>
    <t>Julian Gomez</t>
  </si>
  <si>
    <t>jpablortiz96@gmail.com</t>
  </si>
  <si>
    <t xml:space="preserve">Julian Gomez </t>
  </si>
  <si>
    <t>julian.andres.gomez.8168@gmail.com</t>
  </si>
  <si>
    <t xml:space="preserve"> oscarvargas@trabajocientifico.org</t>
  </si>
  <si>
    <t>Liliana Lopez</t>
  </si>
  <si>
    <t>Marisol Martinez</t>
  </si>
  <si>
    <t>LILIANA PATRICIA LOPEZ VASQUEZ</t>
  </si>
  <si>
    <t>lopezv.liliana@gmail.com</t>
  </si>
  <si>
    <t>MARISOL MARTINEZ IGUA</t>
  </si>
  <si>
    <t xml:space="preserve">mmartinezasesorias@gmail.com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</si>
</sst>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d"/>
  </numFmts>
  <fonts count="31" x14ac:knownFonts="1">
    <font>
      <sz val="10"/>
      <color rgb="FF000000"/>
      <name val="Arial"/>
      <scheme val="minor"/>
    </font>
    <font>
      <b/>
      <sz val="9"/>
      <color theme="1"/>
      <name val="Tahoma"/>
      <family val="2"/>
    </font>
    <font>
      <b/>
      <sz val="10"/>
      <color theme="1"/>
      <name val="Tahoma"/>
      <family val="2"/>
    </font>
    <font>
      <sz val="10"/>
      <color theme="1"/>
      <name val="Arial"/>
      <family val="2"/>
    </font>
    <font>
      <sz val="9"/>
      <color theme="1"/>
      <name val="Tahoma"/>
      <family val="2"/>
    </font>
    <font>
      <sz val="10"/>
      <color theme="1"/>
      <name val="Arial Narrow"/>
      <family val="2"/>
    </font>
    <font>
      <b/>
      <sz val="18"/>
      <color theme="1"/>
      <name val="Tahoma"/>
      <family val="2"/>
    </font>
    <font>
      <b/>
      <sz val="14"/>
      <color theme="1"/>
      <name val="Tahoma"/>
      <family val="2"/>
    </font>
    <font>
      <sz val="10"/>
      <name val="Arial"/>
      <family val="2"/>
    </font>
    <font>
      <sz val="10"/>
      <color theme="1"/>
      <name val="Tahoma"/>
      <family val="2"/>
    </font>
    <font>
      <sz val="8"/>
      <color theme="1"/>
      <name val="Tahoma"/>
      <family val="2"/>
    </font>
    <font>
      <b/>
      <sz val="10"/>
      <color rgb="FFFFFFFF"/>
      <name val="Tahoma"/>
      <family val="2"/>
    </font>
    <font>
      <sz val="7"/>
      <color theme="1"/>
      <name val="Tahoma"/>
      <family val="2"/>
    </font>
    <font>
      <b/>
      <u/>
      <sz val="10"/>
      <color theme="1"/>
      <name val="Tahoma"/>
      <family val="2"/>
    </font>
    <font>
      <b/>
      <sz val="8"/>
      <color theme="1"/>
      <name val="Tahoma"/>
      <family val="2"/>
    </font>
    <font>
      <u/>
      <sz val="9"/>
      <color rgb="FF0000FF"/>
      <name val="Tahoma"/>
      <family val="2"/>
    </font>
    <font>
      <b/>
      <sz val="8"/>
      <color theme="1"/>
      <name val="Arial"/>
      <family val="2"/>
    </font>
    <font>
      <sz val="10"/>
      <name val="Tahoma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u/>
      <sz val="10"/>
      <color theme="10"/>
      <name val="Arial"/>
      <family val="2"/>
      <scheme val="minor"/>
    </font>
    <font>
      <sz val="10"/>
      <color rgb="FF000000"/>
      <name val="Arial"/>
      <family val="2"/>
      <scheme val="minor"/>
    </font>
    <font>
      <u/>
      <sz val="10"/>
      <color indexed="12"/>
      <name val="Arial"/>
      <family val="2"/>
    </font>
    <font>
      <b/>
      <sz val="9"/>
      <name val="Tahoma"/>
      <family val="2"/>
    </font>
    <font>
      <b/>
      <sz val="10"/>
      <color rgb="FF000000"/>
      <name val="Arial"/>
      <family val="2"/>
    </font>
    <font>
      <b/>
      <u/>
      <sz val="10"/>
      <name val="Tahoma"/>
      <family val="2"/>
    </font>
    <font>
      <u/>
      <sz val="10"/>
      <color theme="10"/>
      <name val="Arial"/>
      <family val="2"/>
      <scheme val="minor"/>
    </font>
    <font>
      <sz val="9"/>
      <color rgb="FF000000"/>
      <name val="Tahoma"/>
      <family val="2"/>
    </font>
    <font>
      <u/>
      <sz val="10"/>
      <color theme="10"/>
      <name val="Arial"/>
      <family val="2"/>
      <scheme val="minor"/>
    </font>
    <font>
      <sz val="10"/>
      <color rgb="FF000000"/>
      <name val="Arial"/>
      <family val="2"/>
    </font>
    <font>
      <sz val="9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31">
    <border>
      <left/>
      <right/>
      <top/>
      <bottom/>
      <diagonal/>
    </border>
    <border>
      <left/>
      <right/>
      <top/>
      <bottom style="medium">
        <color rgb="FFFF0000"/>
      </bottom>
      <diagonal/>
    </border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8" fillId="0" borderId="2"/>
    <xf numFmtId="0" fontId="22" fillId="0" borderId="2" applyNumberFormat="0" applyFill="0" applyBorder="0" applyAlignment="0" applyProtection="0">
      <alignment vertical="top"/>
      <protection locked="0"/>
    </xf>
    <xf numFmtId="0" fontId="21" fillId="0" borderId="2"/>
    <xf numFmtId="0" fontId="20" fillId="0" borderId="2" applyNumberFormat="0" applyFill="0" applyBorder="0" applyAlignment="0" applyProtection="0"/>
    <xf numFmtId="0" fontId="26" fillId="0" borderId="0" applyNumberFormat="0" applyFill="0" applyBorder="0" applyAlignment="0" applyProtection="0"/>
    <xf numFmtId="0" fontId="28" fillId="0" borderId="0" applyNumberFormat="0" applyFill="0" applyBorder="0" applyAlignment="0" applyProtection="0"/>
  </cellStyleXfs>
  <cellXfs count="119">
    <xf numFmtId="0" fontId="0" fillId="0" borderId="0" xfId="0"/>
    <xf numFmtId="0" fontId="1" fillId="0" borderId="1" xfId="3" applyFont="1" applyBorder="1" applyAlignment="1">
      <alignment horizontal="left"/>
    </xf>
    <xf numFmtId="0" fontId="2" fillId="0" borderId="1" xfId="3" applyFont="1" applyBorder="1" applyAlignment="1">
      <alignment horizontal="left"/>
    </xf>
    <xf numFmtId="0" fontId="3" fillId="0" borderId="1" xfId="3" applyFont="1" applyBorder="1"/>
    <xf numFmtId="0" fontId="21" fillId="0" borderId="2" xfId="3"/>
    <xf numFmtId="0" fontId="21" fillId="0" borderId="2" xfId="3" applyAlignment="1">
      <alignment horizontal="center"/>
    </xf>
    <xf numFmtId="0" fontId="4" fillId="0" borderId="2" xfId="3" applyFont="1"/>
    <xf numFmtId="0" fontId="2" fillId="0" borderId="2" xfId="3" applyFont="1" applyAlignment="1">
      <alignment horizontal="left"/>
    </xf>
    <xf numFmtId="0" fontId="5" fillId="0" borderId="2" xfId="3" applyFont="1"/>
    <xf numFmtId="0" fontId="5" fillId="0" borderId="2" xfId="3" applyFont="1" applyAlignment="1">
      <alignment horizontal="center"/>
    </xf>
    <xf numFmtId="0" fontId="6" fillId="0" borderId="2" xfId="3" applyFont="1" applyAlignment="1">
      <alignment vertical="center"/>
    </xf>
    <xf numFmtId="0" fontId="6" fillId="0" borderId="2" xfId="3" applyFont="1" applyAlignment="1">
      <alignment horizontal="center" vertical="center"/>
    </xf>
    <xf numFmtId="0" fontId="7" fillId="0" borderId="2" xfId="3" applyFont="1" applyAlignment="1">
      <alignment vertical="center"/>
    </xf>
    <xf numFmtId="0" fontId="2" fillId="2" borderId="3" xfId="3" applyFont="1" applyFill="1" applyBorder="1" applyAlignment="1">
      <alignment horizontal="center" vertical="center" wrapText="1"/>
    </xf>
    <xf numFmtId="0" fontId="2" fillId="2" borderId="4" xfId="3" applyFont="1" applyFill="1" applyBorder="1" applyAlignment="1">
      <alignment horizontal="center" vertical="center" wrapText="1"/>
    </xf>
    <xf numFmtId="0" fontId="2" fillId="2" borderId="12" xfId="3" applyFont="1" applyFill="1" applyBorder="1" applyAlignment="1">
      <alignment horizontal="center" vertical="center" wrapText="1"/>
    </xf>
    <xf numFmtId="0" fontId="9" fillId="0" borderId="2" xfId="3" applyFont="1"/>
    <xf numFmtId="0" fontId="2" fillId="0" borderId="16" xfId="3" applyFont="1" applyBorder="1" applyAlignment="1">
      <alignment horizontal="center"/>
    </xf>
    <xf numFmtId="20" fontId="4" fillId="0" borderId="16" xfId="3" applyNumberFormat="1" applyFont="1" applyBorder="1" applyAlignment="1">
      <alignment horizontal="center" vertical="center" wrapText="1"/>
    </xf>
    <xf numFmtId="20" fontId="4" fillId="0" borderId="9" xfId="3" applyNumberFormat="1" applyFont="1" applyBorder="1" applyAlignment="1">
      <alignment horizontal="center" vertical="center" wrapText="1"/>
    </xf>
    <xf numFmtId="0" fontId="8" fillId="0" borderId="9" xfId="3" applyFont="1" applyBorder="1"/>
    <xf numFmtId="0" fontId="8" fillId="0" borderId="10" xfId="3" applyFont="1" applyBorder="1"/>
    <xf numFmtId="0" fontId="2" fillId="0" borderId="2" xfId="3" applyFont="1" applyAlignment="1">
      <alignment horizontal="center"/>
    </xf>
    <xf numFmtId="0" fontId="11" fillId="0" borderId="2" xfId="3" applyFont="1" applyAlignment="1">
      <alignment horizontal="center"/>
    </xf>
    <xf numFmtId="0" fontId="12" fillId="0" borderId="2" xfId="3" applyFont="1" applyAlignment="1">
      <alignment horizontal="center" vertical="center" wrapText="1"/>
    </xf>
    <xf numFmtId="0" fontId="9" fillId="0" borderId="2" xfId="3" applyFont="1" applyAlignment="1">
      <alignment vertical="center"/>
    </xf>
    <xf numFmtId="0" fontId="21" fillId="0" borderId="2" xfId="3" applyAlignment="1">
      <alignment vertical="center"/>
    </xf>
    <xf numFmtId="0" fontId="1" fillId="0" borderId="2" xfId="3" applyFont="1" applyAlignment="1">
      <alignment vertical="center" wrapText="1"/>
    </xf>
    <xf numFmtId="0" fontId="4" fillId="0" borderId="2" xfId="3" applyFont="1" applyAlignment="1">
      <alignment horizontal="left" vertical="center" wrapText="1"/>
    </xf>
    <xf numFmtId="0" fontId="10" fillId="0" borderId="2" xfId="3" applyFont="1" applyAlignment="1">
      <alignment horizontal="left" wrapText="1"/>
    </xf>
    <xf numFmtId="0" fontId="10" fillId="0" borderId="2" xfId="3" applyFont="1" applyAlignment="1">
      <alignment horizontal="center" wrapText="1"/>
    </xf>
    <xf numFmtId="0" fontId="4" fillId="0" borderId="2" xfId="3" applyFont="1" applyAlignment="1">
      <alignment horizontal="center"/>
    </xf>
    <xf numFmtId="0" fontId="15" fillId="0" borderId="2" xfId="3" applyFont="1" applyAlignment="1">
      <alignment horizontal="left"/>
    </xf>
    <xf numFmtId="0" fontId="4" fillId="0" borderId="2" xfId="3" applyFont="1" applyAlignment="1">
      <alignment horizontal="left"/>
    </xf>
    <xf numFmtId="0" fontId="16" fillId="0" borderId="2" xfId="3" applyFont="1" applyAlignment="1">
      <alignment horizontal="right"/>
    </xf>
    <xf numFmtId="0" fontId="10" fillId="0" borderId="5" xfId="3" applyFont="1" applyBorder="1" applyAlignment="1">
      <alignment horizontal="center" vertical="center"/>
    </xf>
    <xf numFmtId="164" fontId="4" fillId="0" borderId="6" xfId="3" applyNumberFormat="1" applyFont="1" applyBorder="1" applyAlignment="1">
      <alignment horizontal="center" vertical="center" wrapText="1"/>
    </xf>
    <xf numFmtId="0" fontId="4" fillId="0" borderId="6" xfId="3" applyFont="1" applyBorder="1" applyAlignment="1">
      <alignment horizontal="center" vertical="center" wrapText="1"/>
    </xf>
    <xf numFmtId="0" fontId="4" fillId="0" borderId="7" xfId="3" applyFont="1" applyBorder="1" applyAlignment="1">
      <alignment horizontal="center" vertical="center" wrapText="1"/>
    </xf>
    <xf numFmtId="0" fontId="18" fillId="0" borderId="2" xfId="3" applyFont="1"/>
    <xf numFmtId="0" fontId="23" fillId="0" borderId="0" xfId="0" applyFont="1" applyAlignment="1">
      <alignment horizontal="left" vertical="center"/>
    </xf>
    <xf numFmtId="0" fontId="2" fillId="0" borderId="2" xfId="3" applyFont="1" applyAlignment="1">
      <alignment vertical="center" wrapText="1"/>
    </xf>
    <xf numFmtId="0" fontId="2" fillId="2" borderId="19" xfId="3" applyFont="1" applyFill="1" applyBorder="1" applyAlignment="1">
      <alignment horizontal="center" vertical="center" wrapText="1"/>
    </xf>
    <xf numFmtId="0" fontId="9" fillId="3" borderId="2" xfId="3" applyFont="1" applyFill="1"/>
    <xf numFmtId="0" fontId="21" fillId="3" borderId="2" xfId="3" applyFill="1"/>
    <xf numFmtId="0" fontId="19" fillId="0" borderId="2" xfId="3" applyFont="1" applyAlignment="1">
      <alignment vertical="center"/>
    </xf>
    <xf numFmtId="0" fontId="0" fillId="0" borderId="2" xfId="0" applyBorder="1"/>
    <xf numFmtId="0" fontId="27" fillId="0" borderId="2" xfId="0" applyFont="1" applyBorder="1"/>
    <xf numFmtId="0" fontId="21" fillId="0" borderId="2" xfId="0" applyFont="1" applyBorder="1"/>
    <xf numFmtId="0" fontId="24" fillId="0" borderId="11" xfId="0" applyFont="1" applyBorder="1" applyAlignment="1">
      <alignment vertical="center"/>
    </xf>
    <xf numFmtId="0" fontId="27" fillId="0" borderId="11" xfId="0" applyFont="1" applyBorder="1"/>
    <xf numFmtId="16" fontId="30" fillId="0" borderId="11" xfId="0" applyNumberFormat="1" applyFont="1" applyBorder="1" applyAlignment="1">
      <alignment horizontal="center" vertical="center" wrapText="1"/>
    </xf>
    <xf numFmtId="0" fontId="10" fillId="5" borderId="5" xfId="3" applyFont="1" applyFill="1" applyBorder="1" applyAlignment="1">
      <alignment horizontal="center" vertical="center"/>
    </xf>
    <xf numFmtId="164" fontId="4" fillId="5" borderId="6" xfId="3" applyNumberFormat="1" applyFont="1" applyFill="1" applyBorder="1" applyAlignment="1">
      <alignment horizontal="center" vertical="center" wrapText="1"/>
    </xf>
    <xf numFmtId="16" fontId="30" fillId="5" borderId="11" xfId="0" applyNumberFormat="1" applyFont="1" applyFill="1" applyBorder="1" applyAlignment="1">
      <alignment horizontal="center" vertical="center" wrapText="1"/>
    </xf>
    <xf numFmtId="0" fontId="4" fillId="5" borderId="6" xfId="3" applyFont="1" applyFill="1" applyBorder="1" applyAlignment="1">
      <alignment horizontal="center" vertical="center" wrapText="1"/>
    </xf>
    <xf numFmtId="0" fontId="4" fillId="5" borderId="7" xfId="3" applyFont="1" applyFill="1" applyBorder="1" applyAlignment="1">
      <alignment horizontal="center" vertical="center" wrapText="1"/>
    </xf>
    <xf numFmtId="0" fontId="24" fillId="5" borderId="11" xfId="0" applyFont="1" applyFill="1" applyBorder="1" applyAlignment="1">
      <alignment vertical="center"/>
    </xf>
    <xf numFmtId="0" fontId="27" fillId="6" borderId="11" xfId="0" applyFont="1" applyFill="1" applyBorder="1"/>
    <xf numFmtId="0" fontId="27" fillId="7" borderId="11" xfId="0" applyFont="1" applyFill="1" applyBorder="1"/>
    <xf numFmtId="0" fontId="27" fillId="8" borderId="11" xfId="0" applyFont="1" applyFill="1" applyBorder="1"/>
    <xf numFmtId="0" fontId="27" fillId="9" borderId="11" xfId="0" applyFont="1" applyFill="1" applyBorder="1"/>
    <xf numFmtId="0" fontId="2" fillId="0" borderId="2" xfId="3" applyFont="1" applyAlignment="1">
      <alignment horizontal="left"/>
    </xf>
    <xf numFmtId="0" fontId="21" fillId="0" borderId="2" xfId="3"/>
    <xf numFmtId="0" fontId="9" fillId="0" borderId="2" xfId="3" applyFont="1" applyAlignment="1">
      <alignment horizontal="left" vertical="center" wrapText="1"/>
    </xf>
    <xf numFmtId="0" fontId="2" fillId="2" borderId="12" xfId="3" applyFont="1" applyFill="1" applyBorder="1" applyAlignment="1">
      <alignment horizontal="center" vertical="center" wrapText="1"/>
    </xf>
    <xf numFmtId="0" fontId="8" fillId="0" borderId="13" xfId="3" applyFont="1" applyBorder="1"/>
    <xf numFmtId="0" fontId="17" fillId="0" borderId="17" xfId="3" applyFont="1" applyBorder="1" applyAlignment="1">
      <alignment horizontal="center" vertical="center" wrapText="1"/>
    </xf>
    <xf numFmtId="0" fontId="17" fillId="0" borderId="18" xfId="3" applyFont="1" applyBorder="1" applyAlignment="1">
      <alignment horizontal="center" vertical="center" wrapText="1"/>
    </xf>
    <xf numFmtId="0" fontId="4" fillId="0" borderId="25" xfId="3" applyFont="1" applyBorder="1" applyAlignment="1">
      <alignment horizontal="center" vertical="center" wrapText="1"/>
    </xf>
    <xf numFmtId="0" fontId="4" fillId="0" borderId="26" xfId="3" applyFont="1" applyBorder="1" applyAlignment="1">
      <alignment horizontal="center" vertical="center" wrapText="1"/>
    </xf>
    <xf numFmtId="0" fontId="4" fillId="0" borderId="27" xfId="3" applyFont="1" applyBorder="1" applyAlignment="1">
      <alignment horizontal="center" vertical="center" wrapText="1"/>
    </xf>
    <xf numFmtId="0" fontId="17" fillId="3" borderId="17" xfId="3" applyFont="1" applyFill="1" applyBorder="1" applyAlignment="1">
      <alignment horizontal="center" vertical="center" wrapText="1"/>
    </xf>
    <xf numFmtId="0" fontId="17" fillId="3" borderId="18" xfId="3" applyFont="1" applyFill="1" applyBorder="1" applyAlignment="1">
      <alignment horizontal="center" vertical="center" wrapText="1"/>
    </xf>
    <xf numFmtId="0" fontId="2" fillId="0" borderId="8" xfId="3" applyFont="1" applyBorder="1" applyAlignment="1">
      <alignment horizontal="center"/>
    </xf>
    <xf numFmtId="0" fontId="8" fillId="0" borderId="14" xfId="3" applyFont="1" applyBorder="1"/>
    <xf numFmtId="0" fontId="8" fillId="0" borderId="15" xfId="3" applyFont="1" applyBorder="1"/>
    <xf numFmtId="0" fontId="13" fillId="0" borderId="20" xfId="3" applyFont="1" applyBorder="1" applyAlignment="1">
      <alignment horizontal="center" vertical="center"/>
    </xf>
    <xf numFmtId="0" fontId="8" fillId="0" borderId="21" xfId="3" applyFont="1" applyBorder="1" applyAlignment="1">
      <alignment vertical="center"/>
    </xf>
    <xf numFmtId="0" fontId="8" fillId="0" borderId="22" xfId="3" applyFont="1" applyBorder="1" applyAlignment="1">
      <alignment vertical="center"/>
    </xf>
    <xf numFmtId="0" fontId="13" fillId="0" borderId="23" xfId="3" applyFont="1" applyBorder="1" applyAlignment="1">
      <alignment horizontal="center" vertical="center"/>
    </xf>
    <xf numFmtId="0" fontId="8" fillId="0" borderId="11" xfId="3" applyFont="1" applyBorder="1" applyAlignment="1">
      <alignment vertical="center"/>
    </xf>
    <xf numFmtId="0" fontId="2" fillId="0" borderId="2" xfId="3" applyFont="1" applyAlignment="1">
      <alignment horizontal="left" vertical="center" wrapText="1"/>
    </xf>
    <xf numFmtId="0" fontId="4" fillId="0" borderId="2" xfId="3" applyFont="1" applyAlignment="1">
      <alignment horizontal="left"/>
    </xf>
    <xf numFmtId="0" fontId="25" fillId="0" borderId="23" xfId="3" applyFont="1" applyBorder="1" applyAlignment="1">
      <alignment horizontal="center" vertical="center"/>
    </xf>
    <xf numFmtId="0" fontId="8" fillId="0" borderId="11" xfId="3" applyFont="1" applyBorder="1" applyAlignment="1">
      <alignment horizontal="center" vertical="center"/>
    </xf>
    <xf numFmtId="0" fontId="9" fillId="0" borderId="11" xfId="3" applyFont="1" applyBorder="1" applyAlignment="1">
      <alignment horizontal="center" vertical="center"/>
    </xf>
    <xf numFmtId="0" fontId="28" fillId="0" borderId="11" xfId="6" applyBorder="1" applyAlignment="1">
      <alignment horizontal="center" vertical="center"/>
    </xf>
    <xf numFmtId="0" fontId="26" fillId="0" borderId="11" xfId="5" applyBorder="1" applyAlignment="1">
      <alignment vertical="center"/>
    </xf>
    <xf numFmtId="0" fontId="26" fillId="0" borderId="24" xfId="5" applyBorder="1" applyAlignment="1">
      <alignment vertical="center"/>
    </xf>
    <xf numFmtId="0" fontId="14" fillId="0" borderId="2" xfId="3" applyFont="1" applyAlignment="1">
      <alignment horizontal="left" wrapText="1"/>
    </xf>
    <xf numFmtId="0" fontId="18" fillId="0" borderId="2" xfId="3" applyFont="1"/>
    <xf numFmtId="0" fontId="20" fillId="0" borderId="11" xfId="6" applyFont="1" applyBorder="1" applyAlignment="1">
      <alignment horizontal="center" vertical="center"/>
    </xf>
    <xf numFmtId="0" fontId="13" fillId="0" borderId="28" xfId="3" applyFont="1" applyBorder="1" applyAlignment="1">
      <alignment horizontal="center" vertical="center"/>
    </xf>
    <xf numFmtId="0" fontId="13" fillId="0" borderId="29" xfId="3" applyFont="1" applyBorder="1" applyAlignment="1">
      <alignment horizontal="center" vertical="center"/>
    </xf>
    <xf numFmtId="0" fontId="13" fillId="0" borderId="18" xfId="3" applyFont="1" applyBorder="1" applyAlignment="1">
      <alignment horizontal="center" vertical="center"/>
    </xf>
    <xf numFmtId="0" fontId="9" fillId="0" borderId="17" xfId="3" applyFont="1" applyBorder="1" applyAlignment="1">
      <alignment horizontal="center" vertical="center"/>
    </xf>
    <xf numFmtId="0" fontId="9" fillId="0" borderId="18" xfId="3" applyFont="1" applyBorder="1" applyAlignment="1">
      <alignment horizontal="center" vertical="center"/>
    </xf>
    <xf numFmtId="0" fontId="28" fillId="0" borderId="17" xfId="6" applyBorder="1" applyAlignment="1">
      <alignment horizontal="center" vertical="center"/>
    </xf>
    <xf numFmtId="0" fontId="20" fillId="0" borderId="29" xfId="6" applyFont="1" applyBorder="1" applyAlignment="1">
      <alignment horizontal="center" vertical="center"/>
    </xf>
    <xf numFmtId="0" fontId="20" fillId="0" borderId="30" xfId="6" applyFont="1" applyBorder="1" applyAlignment="1">
      <alignment horizontal="center" vertical="center"/>
    </xf>
    <xf numFmtId="0" fontId="28" fillId="0" borderId="29" xfId="6" applyBorder="1" applyAlignment="1">
      <alignment horizontal="center" vertical="center"/>
    </xf>
    <xf numFmtId="0" fontId="28" fillId="0" borderId="30" xfId="6" applyBorder="1" applyAlignment="1">
      <alignment horizontal="center" vertical="center"/>
    </xf>
    <xf numFmtId="0" fontId="6" fillId="0" borderId="2" xfId="3" applyFont="1" applyAlignment="1">
      <alignment horizontal="center" vertical="center"/>
    </xf>
    <xf numFmtId="0" fontId="5" fillId="0" borderId="2" xfId="3" applyFont="1" applyAlignment="1">
      <alignment horizontal="center"/>
    </xf>
    <xf numFmtId="0" fontId="2" fillId="0" borderId="2" xfId="3" applyFont="1" applyAlignment="1">
      <alignment horizontal="left" vertical="center"/>
    </xf>
    <xf numFmtId="0" fontId="18" fillId="0" borderId="2" xfId="3" applyFont="1" applyAlignment="1">
      <alignment vertical="center"/>
    </xf>
    <xf numFmtId="0" fontId="9" fillId="0" borderId="2" xfId="3" applyFont="1" applyAlignment="1">
      <alignment horizontal="left" vertical="center"/>
    </xf>
    <xf numFmtId="0" fontId="2" fillId="4" borderId="2" xfId="3" applyFont="1" applyFill="1" applyAlignment="1">
      <alignment horizontal="left" vertical="center"/>
    </xf>
    <xf numFmtId="0" fontId="19" fillId="4" borderId="2" xfId="3" applyFont="1" applyFill="1" applyAlignment="1">
      <alignment vertical="center"/>
    </xf>
    <xf numFmtId="0" fontId="13" fillId="0" borderId="11" xfId="3" applyFont="1" applyBorder="1" applyAlignment="1">
      <alignment horizontal="center" vertical="center"/>
    </xf>
    <xf numFmtId="0" fontId="8" fillId="0" borderId="24" xfId="3" applyFont="1" applyBorder="1" applyAlignment="1">
      <alignment vertical="center"/>
    </xf>
    <xf numFmtId="0" fontId="10" fillId="4" borderId="5" xfId="3" applyFont="1" applyFill="1" applyBorder="1" applyAlignment="1">
      <alignment horizontal="center" vertical="center"/>
    </xf>
    <xf numFmtId="164" fontId="4" fillId="4" borderId="6" xfId="3" applyNumberFormat="1" applyFont="1" applyFill="1" applyBorder="1" applyAlignment="1">
      <alignment horizontal="center" vertical="center" wrapText="1"/>
    </xf>
    <xf numFmtId="16" fontId="30" fillId="4" borderId="11" xfId="0" applyNumberFormat="1" applyFont="1" applyFill="1" applyBorder="1" applyAlignment="1">
      <alignment horizontal="center" vertical="center" wrapText="1"/>
    </xf>
    <xf numFmtId="0" fontId="4" fillId="4" borderId="6" xfId="3" applyFont="1" applyFill="1" applyBorder="1" applyAlignment="1">
      <alignment horizontal="center" vertical="center" wrapText="1"/>
    </xf>
    <xf numFmtId="0" fontId="4" fillId="4" borderId="7" xfId="3" applyFont="1" applyFill="1" applyBorder="1" applyAlignment="1">
      <alignment horizontal="center" vertical="center" wrapText="1"/>
    </xf>
    <xf numFmtId="0" fontId="24" fillId="4" borderId="11" xfId="0" applyFont="1" applyFill="1" applyBorder="1" applyAlignment="1">
      <alignment vertical="center"/>
    </xf>
    <xf numFmtId="0" fontId="27" fillId="4" borderId="11" xfId="0" applyFont="1" applyFill="1" applyBorder="1"/>
  </cellXfs>
  <cellStyles count="7">
    <cellStyle name="Hipervínculo" xfId="6" builtinId="8"/>
    <cellStyle name="Hipervínculo 2" xfId="2" xr:uid="{00000000-0005-0000-0000-000000000000}"/>
    <cellStyle name="Hipervínculo 3" xfId="4" xr:uid="{00000000-0005-0000-0000-000001000000}"/>
    <cellStyle name="Hyperlink" xfId="5" xr:uid="{00000000-0005-0000-0000-000002000000}"/>
    <cellStyle name="Normal" xfId="0" builtinId="0"/>
    <cellStyle name="Normal 2" xfId="1" xr:uid="{00000000-0005-0000-0000-000004000000}"/>
    <cellStyle name="Normal 3" xfId="3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819150</xdr:colOff>
      <xdr:row>2</xdr:row>
      <xdr:rowOff>47625</xdr:rowOff>
    </xdr:from>
    <xdr:to>
      <xdr:col>10</xdr:col>
      <xdr:colOff>620246</xdr:colOff>
      <xdr:row>2</xdr:row>
      <xdr:rowOff>215713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C074F513-8EBF-4382-9FDE-287656BE4C61}"/>
            </a:ext>
          </a:extLst>
        </xdr:cNvPr>
        <xdr:cNvSpPr/>
      </xdr:nvSpPr>
      <xdr:spPr>
        <a:xfrm>
          <a:off x="13268325" y="542925"/>
          <a:ext cx="1277471" cy="168088"/>
        </a:xfrm>
        <a:prstGeom prst="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100" b="1">
              <a:solidFill>
                <a:schemeClr val="bg1"/>
              </a:solidFill>
            </a:rPr>
            <a:t>DIRE-5-FO01</a:t>
          </a:r>
        </a:p>
      </xdr:txBody>
    </xdr:sp>
    <xdr:clientData/>
  </xdr:twoCellAnchor>
  <xdr:twoCellAnchor editAs="oneCell">
    <xdr:from>
      <xdr:col>9</xdr:col>
      <xdr:colOff>857250</xdr:colOff>
      <xdr:row>0</xdr:row>
      <xdr:rowOff>66675</xdr:rowOff>
    </xdr:from>
    <xdr:to>
      <xdr:col>11</xdr:col>
      <xdr:colOff>172135</xdr:colOff>
      <xdr:row>2</xdr:row>
      <xdr:rowOff>2066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7028775-6519-4625-9830-D70C2494FF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06425" y="66675"/>
          <a:ext cx="1288676" cy="42434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649D996-6833-C548-BBDE-C83189B87AE7}">
  <we:reference id="93533c7f-4dc5-468f-aba4-1c008e1a7ac8" version="1.0.0.8" store="EXCatalog" storeType="EXCatalog"/>
  <we:alternateReferences>
    <we:reference id="WA200003101" version="1.0.0.8" store="en-US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lopezv.liliana@gmail.com" TargetMode="External"/><Relationship Id="rId2" Type="http://schemas.openxmlformats.org/officeDocument/2006/relationships/hyperlink" Target="mailto:julian.andres.gomez.8168@gmail.com" TargetMode="External"/><Relationship Id="rId1" Type="http://schemas.openxmlformats.org/officeDocument/2006/relationships/hyperlink" Target="mailto:jpablortiz96@gmail.com" TargetMode="External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mmartinezasesorias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3"/>
  <sheetViews>
    <sheetView showGridLines="0" tabSelected="1" zoomScale="90" zoomScaleNormal="90" workbookViewId="0">
      <selection activeCell="G19" sqref="G19"/>
    </sheetView>
  </sheetViews>
  <sheetFormatPr baseColWidth="10" defaultColWidth="12.42578125" defaultRowHeight="15" customHeight="1" x14ac:dyDescent="0.2"/>
  <cols>
    <col min="1" max="1" width="5.140625" style="4" customWidth="1"/>
    <col min="2" max="2" width="12.85546875" style="4" customWidth="1"/>
    <col min="3" max="3" width="11.42578125" style="4" customWidth="1"/>
    <col min="4" max="4" width="19.140625" style="4" customWidth="1"/>
    <col min="5" max="5" width="9.42578125" style="4" customWidth="1"/>
    <col min="6" max="6" width="63.85546875" style="4" customWidth="1"/>
    <col min="7" max="7" width="28.28515625" style="5" customWidth="1"/>
    <col min="8" max="8" width="9.7109375" style="4" customWidth="1"/>
    <col min="9" max="9" width="24" style="4" customWidth="1"/>
    <col min="10" max="10" width="22.140625" style="4" customWidth="1"/>
    <col min="11" max="11" width="7.42578125" style="4" customWidth="1"/>
    <col min="12" max="26" width="9.140625" style="4" customWidth="1"/>
    <col min="27" max="16384" width="12.42578125" style="4"/>
  </cols>
  <sheetData>
    <row r="1" spans="1:26" ht="19.5" customHeight="1" thickBot="1" x14ac:dyDescent="0.25">
      <c r="A1" s="1" t="s">
        <v>0</v>
      </c>
      <c r="B1" s="2"/>
      <c r="C1" s="3"/>
      <c r="J1" s="12"/>
      <c r="K1" s="6"/>
    </row>
    <row r="2" spans="1:26" ht="19.5" customHeight="1" x14ac:dyDescent="0.2">
      <c r="A2" s="40" t="s">
        <v>1</v>
      </c>
      <c r="B2" s="7"/>
      <c r="C2" s="8"/>
      <c r="D2" s="8"/>
      <c r="E2" s="8"/>
      <c r="F2" s="8"/>
      <c r="G2" s="9"/>
      <c r="H2" s="8"/>
      <c r="I2" s="8"/>
      <c r="J2" s="6"/>
      <c r="K2" s="12"/>
    </row>
    <row r="3" spans="1:26" ht="18.75" customHeight="1" x14ac:dyDescent="0.2">
      <c r="B3" s="10"/>
      <c r="C3" s="10"/>
      <c r="D3" s="10"/>
      <c r="E3" s="10"/>
      <c r="F3" s="10"/>
      <c r="G3" s="11"/>
      <c r="H3" s="10"/>
      <c r="I3" s="10"/>
      <c r="J3" s="10"/>
      <c r="K3" s="12"/>
    </row>
    <row r="4" spans="1:26" ht="15" customHeight="1" x14ac:dyDescent="0.2">
      <c r="A4" s="103" t="s">
        <v>2</v>
      </c>
      <c r="B4" s="63"/>
      <c r="C4" s="63"/>
      <c r="D4" s="63"/>
      <c r="E4" s="63"/>
      <c r="F4" s="63"/>
      <c r="G4" s="63"/>
      <c r="H4" s="63"/>
      <c r="I4" s="63"/>
      <c r="J4" s="63"/>
    </row>
    <row r="5" spans="1:26" ht="21" customHeight="1" x14ac:dyDescent="0.2">
      <c r="A5" s="63"/>
      <c r="B5" s="63"/>
      <c r="C5" s="63"/>
      <c r="D5" s="63"/>
      <c r="E5" s="63"/>
      <c r="F5" s="63"/>
      <c r="G5" s="63"/>
      <c r="H5" s="63"/>
      <c r="I5" s="63"/>
      <c r="J5" s="63"/>
      <c r="K5" s="12"/>
    </row>
    <row r="6" spans="1:26" ht="5.25" customHeight="1" x14ac:dyDescent="0.2">
      <c r="A6" s="104"/>
      <c r="B6" s="63"/>
      <c r="C6" s="63"/>
      <c r="D6" s="63"/>
      <c r="E6" s="63"/>
      <c r="F6" s="63"/>
      <c r="G6" s="63"/>
      <c r="H6" s="63"/>
      <c r="I6" s="63"/>
      <c r="J6" s="63"/>
      <c r="K6" s="63"/>
    </row>
    <row r="7" spans="1:26" ht="18" customHeight="1" x14ac:dyDescent="0.2">
      <c r="A7" s="105" t="s">
        <v>3</v>
      </c>
      <c r="B7" s="106"/>
      <c r="C7" s="106"/>
      <c r="D7" s="107" t="s">
        <v>4</v>
      </c>
      <c r="E7" s="106"/>
      <c r="F7" s="106"/>
      <c r="G7" s="106"/>
      <c r="H7" s="106"/>
      <c r="I7" s="106"/>
      <c r="J7" s="106"/>
      <c r="K7" s="106"/>
    </row>
    <row r="8" spans="1:26" ht="18" customHeight="1" x14ac:dyDescent="0.2">
      <c r="A8" s="105" t="s">
        <v>5</v>
      </c>
      <c r="B8" s="106"/>
      <c r="C8" s="106"/>
      <c r="D8" s="107" t="s">
        <v>6</v>
      </c>
      <c r="E8" s="106"/>
      <c r="F8" s="106"/>
      <c r="G8" s="106"/>
      <c r="H8" s="106"/>
      <c r="I8" s="106"/>
      <c r="J8" s="106"/>
      <c r="K8" s="106"/>
    </row>
    <row r="9" spans="1:26" ht="21" customHeight="1" x14ac:dyDescent="0.2">
      <c r="A9" s="105" t="s">
        <v>7</v>
      </c>
      <c r="B9" s="106"/>
      <c r="C9" s="106"/>
      <c r="D9" s="108" t="s">
        <v>43</v>
      </c>
      <c r="E9" s="109"/>
      <c r="F9" s="109"/>
      <c r="G9" s="109"/>
      <c r="H9" s="109"/>
      <c r="I9" s="109"/>
      <c r="J9" s="109"/>
      <c r="K9" s="109"/>
    </row>
    <row r="10" spans="1:26" ht="12.75" customHeight="1" x14ac:dyDescent="0.2">
      <c r="A10" s="105" t="s">
        <v>8</v>
      </c>
      <c r="B10" s="63"/>
      <c r="C10" s="63"/>
      <c r="D10" s="64" t="s">
        <v>9</v>
      </c>
      <c r="E10" s="91"/>
      <c r="F10" s="91"/>
      <c r="G10" s="91"/>
      <c r="H10" s="91"/>
      <c r="I10" s="91"/>
      <c r="J10" s="91"/>
      <c r="K10" s="91"/>
    </row>
    <row r="11" spans="1:26" ht="18.75" customHeight="1" x14ac:dyDescent="0.2">
      <c r="A11" s="62" t="s">
        <v>10</v>
      </c>
      <c r="B11" s="63"/>
      <c r="C11" s="63"/>
      <c r="D11" s="107" t="s">
        <v>33</v>
      </c>
      <c r="E11" s="91"/>
      <c r="F11" s="91"/>
      <c r="G11" s="91"/>
      <c r="H11" s="91"/>
      <c r="I11" s="91"/>
      <c r="J11" s="91"/>
      <c r="K11" s="91"/>
    </row>
    <row r="12" spans="1:26" ht="18" customHeight="1" x14ac:dyDescent="0.2">
      <c r="A12" s="62" t="s">
        <v>11</v>
      </c>
      <c r="B12" s="63"/>
      <c r="C12" s="63"/>
      <c r="D12" s="64" t="s">
        <v>12</v>
      </c>
      <c r="E12" s="64"/>
      <c r="F12" s="64"/>
      <c r="G12" s="64"/>
      <c r="H12" s="64"/>
      <c r="I12" s="64"/>
      <c r="J12" s="64"/>
      <c r="K12" s="64"/>
    </row>
    <row r="13" spans="1:26" ht="6.75" customHeight="1" thickBot="1" x14ac:dyDescent="0.25">
      <c r="A13" s="8"/>
      <c r="B13" s="8"/>
      <c r="C13" s="8"/>
      <c r="D13" s="8"/>
      <c r="E13" s="8"/>
      <c r="F13" s="8"/>
      <c r="G13" s="9"/>
      <c r="H13" s="8"/>
      <c r="I13" s="8"/>
      <c r="J13" s="8"/>
      <c r="K13" s="8"/>
    </row>
    <row r="14" spans="1:26" ht="40.5" customHeight="1" x14ac:dyDescent="0.2">
      <c r="A14" s="13" t="s">
        <v>13</v>
      </c>
      <c r="B14" s="13" t="s">
        <v>14</v>
      </c>
      <c r="C14" s="13" t="s">
        <v>15</v>
      </c>
      <c r="D14" s="13" t="s">
        <v>16</v>
      </c>
      <c r="E14" s="14" t="s">
        <v>17</v>
      </c>
      <c r="F14" s="15" t="s">
        <v>18</v>
      </c>
      <c r="G14" s="15" t="s">
        <v>19</v>
      </c>
      <c r="H14" s="42" t="s">
        <v>20</v>
      </c>
      <c r="I14" s="15" t="s">
        <v>21</v>
      </c>
      <c r="J14" s="65" t="s">
        <v>22</v>
      </c>
      <c r="K14" s="6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 spans="1:26" ht="22.5" customHeight="1" x14ac:dyDescent="0.2">
      <c r="A15" s="35">
        <v>1</v>
      </c>
      <c r="B15" s="36">
        <f t="shared" ref="B15:B46" si="0">+C15</f>
        <v>46276</v>
      </c>
      <c r="C15" s="51">
        <v>46276</v>
      </c>
      <c r="D15" s="37" t="s">
        <v>23</v>
      </c>
      <c r="E15" s="38">
        <v>3</v>
      </c>
      <c r="F15" s="49" t="s">
        <v>34</v>
      </c>
      <c r="G15" s="58" t="s">
        <v>42</v>
      </c>
      <c r="H15" s="38">
        <v>3</v>
      </c>
      <c r="I15" s="69" t="s">
        <v>12</v>
      </c>
      <c r="J15" s="67"/>
      <c r="K15" s="68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 spans="1:26" ht="27" customHeight="1" x14ac:dyDescent="0.2">
      <c r="A16" s="52">
        <v>2</v>
      </c>
      <c r="B16" s="53">
        <f t="shared" si="0"/>
        <v>46279</v>
      </c>
      <c r="C16" s="54">
        <f>+C15+3</f>
        <v>46279</v>
      </c>
      <c r="D16" s="55" t="s">
        <v>23</v>
      </c>
      <c r="E16" s="56">
        <v>3</v>
      </c>
      <c r="F16" s="57" t="s">
        <v>34</v>
      </c>
      <c r="G16" s="60" t="s">
        <v>49</v>
      </c>
      <c r="H16" s="56">
        <v>3</v>
      </c>
      <c r="I16" s="70"/>
      <c r="J16" s="67"/>
      <c r="K16" s="68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 spans="1:26" ht="23.25" customHeight="1" x14ac:dyDescent="0.2">
      <c r="A17" s="52">
        <v>3</v>
      </c>
      <c r="B17" s="53">
        <f t="shared" si="0"/>
        <v>46280</v>
      </c>
      <c r="C17" s="54">
        <f>+C16+1</f>
        <v>46280</v>
      </c>
      <c r="D17" s="55" t="s">
        <v>23</v>
      </c>
      <c r="E17" s="56">
        <v>3</v>
      </c>
      <c r="F17" s="57" t="s">
        <v>34</v>
      </c>
      <c r="G17" s="60" t="s">
        <v>49</v>
      </c>
      <c r="H17" s="56">
        <v>3</v>
      </c>
      <c r="I17" s="70"/>
      <c r="J17" s="67"/>
      <c r="K17" s="68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 spans="1:26" ht="24.95" customHeight="1" x14ac:dyDescent="0.2">
      <c r="A18" s="112">
        <v>4</v>
      </c>
      <c r="B18" s="113">
        <f t="shared" si="0"/>
        <v>46281</v>
      </c>
      <c r="C18" s="114">
        <f>+C17+1</f>
        <v>46281</v>
      </c>
      <c r="D18" s="115" t="s">
        <v>23</v>
      </c>
      <c r="E18" s="116">
        <v>3</v>
      </c>
      <c r="F18" s="117" t="s">
        <v>34</v>
      </c>
      <c r="G18" s="118" t="s">
        <v>41</v>
      </c>
      <c r="H18" s="56">
        <v>3</v>
      </c>
      <c r="I18" s="70"/>
      <c r="J18" s="67"/>
      <c r="K18" s="68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 spans="1:26" ht="23.25" customHeight="1" x14ac:dyDescent="0.2">
      <c r="A19" s="52">
        <v>5</v>
      </c>
      <c r="B19" s="53">
        <f t="shared" si="0"/>
        <v>46282</v>
      </c>
      <c r="C19" s="54">
        <f>+C18+1</f>
        <v>46282</v>
      </c>
      <c r="D19" s="55" t="s">
        <v>23</v>
      </c>
      <c r="E19" s="56">
        <v>3</v>
      </c>
      <c r="F19" s="57" t="s">
        <v>34</v>
      </c>
      <c r="G19" s="60" t="s">
        <v>49</v>
      </c>
      <c r="H19" s="56">
        <v>3</v>
      </c>
      <c r="I19" s="70"/>
      <c r="J19" s="67"/>
      <c r="K19" s="68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 spans="1:26" ht="23.25" customHeight="1" x14ac:dyDescent="0.2">
      <c r="A20" s="52">
        <v>6</v>
      </c>
      <c r="B20" s="53">
        <f t="shared" si="0"/>
        <v>46283</v>
      </c>
      <c r="C20" s="54">
        <f>+C19+1</f>
        <v>46283</v>
      </c>
      <c r="D20" s="55" t="s">
        <v>23</v>
      </c>
      <c r="E20" s="56">
        <v>3</v>
      </c>
      <c r="F20" s="57" t="s">
        <v>35</v>
      </c>
      <c r="G20" s="60" t="s">
        <v>49</v>
      </c>
      <c r="H20" s="56">
        <v>3</v>
      </c>
      <c r="I20" s="70"/>
      <c r="J20" s="67"/>
      <c r="K20" s="68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 spans="1:26" ht="24.95" customHeight="1" x14ac:dyDescent="0.2">
      <c r="A21" s="52">
        <v>7</v>
      </c>
      <c r="B21" s="53">
        <f t="shared" si="0"/>
        <v>46286</v>
      </c>
      <c r="C21" s="54">
        <f>+C20+3</f>
        <v>46286</v>
      </c>
      <c r="D21" s="55" t="s">
        <v>23</v>
      </c>
      <c r="E21" s="56">
        <v>3</v>
      </c>
      <c r="F21" s="57" t="s">
        <v>35</v>
      </c>
      <c r="G21" s="60" t="s">
        <v>49</v>
      </c>
      <c r="H21" s="56">
        <v>3</v>
      </c>
      <c r="I21" s="70"/>
      <c r="J21" s="67"/>
      <c r="K21" s="68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 spans="1:26" ht="23.25" customHeight="1" x14ac:dyDescent="0.2">
      <c r="A22" s="52">
        <v>8</v>
      </c>
      <c r="B22" s="53">
        <f t="shared" si="0"/>
        <v>46287</v>
      </c>
      <c r="C22" s="54">
        <f>+C21+1</f>
        <v>46287</v>
      </c>
      <c r="D22" s="55" t="s">
        <v>23</v>
      </c>
      <c r="E22" s="56">
        <v>3</v>
      </c>
      <c r="F22" s="57" t="s">
        <v>35</v>
      </c>
      <c r="G22" s="60" t="s">
        <v>49</v>
      </c>
      <c r="H22" s="56">
        <v>3</v>
      </c>
      <c r="I22" s="70"/>
      <c r="J22" s="67"/>
      <c r="K22" s="68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spans="1:26" ht="23.25" customHeight="1" x14ac:dyDescent="0.2">
      <c r="A23" s="52">
        <v>9</v>
      </c>
      <c r="B23" s="53">
        <f t="shared" si="0"/>
        <v>46288</v>
      </c>
      <c r="C23" s="54">
        <f>+C22+1</f>
        <v>46288</v>
      </c>
      <c r="D23" s="55" t="s">
        <v>23</v>
      </c>
      <c r="E23" s="56">
        <v>3</v>
      </c>
      <c r="F23" s="57" t="s">
        <v>35</v>
      </c>
      <c r="G23" s="58" t="s">
        <v>42</v>
      </c>
      <c r="H23" s="56">
        <v>3</v>
      </c>
      <c r="I23" s="70"/>
      <c r="J23" s="67"/>
      <c r="K23" s="68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 spans="1:26" ht="23.25" customHeight="1" x14ac:dyDescent="0.2">
      <c r="A24" s="52">
        <v>10</v>
      </c>
      <c r="B24" s="53">
        <f t="shared" si="0"/>
        <v>46289</v>
      </c>
      <c r="C24" s="54">
        <f>+C23+1</f>
        <v>46289</v>
      </c>
      <c r="D24" s="55" t="s">
        <v>23</v>
      </c>
      <c r="E24" s="56">
        <v>3</v>
      </c>
      <c r="F24" s="57" t="s">
        <v>35</v>
      </c>
      <c r="G24" s="58" t="s">
        <v>42</v>
      </c>
      <c r="H24" s="56">
        <v>3</v>
      </c>
      <c r="I24" s="70"/>
      <c r="J24" s="67"/>
      <c r="K24" s="68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 spans="1:26" ht="23.25" customHeight="1" x14ac:dyDescent="0.2">
      <c r="A25" s="52">
        <v>11</v>
      </c>
      <c r="B25" s="53">
        <f t="shared" si="0"/>
        <v>46290</v>
      </c>
      <c r="C25" s="54">
        <f>+C24+1</f>
        <v>46290</v>
      </c>
      <c r="D25" s="55" t="s">
        <v>23</v>
      </c>
      <c r="E25" s="56">
        <v>3</v>
      </c>
      <c r="F25" s="57" t="s">
        <v>36</v>
      </c>
      <c r="G25" s="58" t="s">
        <v>42</v>
      </c>
      <c r="H25" s="56">
        <v>3</v>
      </c>
      <c r="I25" s="70"/>
      <c r="J25" s="67"/>
      <c r="K25" s="68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 spans="1:26" ht="23.25" customHeight="1" x14ac:dyDescent="0.2">
      <c r="A26" s="52">
        <v>12</v>
      </c>
      <c r="B26" s="53">
        <f t="shared" si="0"/>
        <v>46293</v>
      </c>
      <c r="C26" s="54">
        <f>+C25+3</f>
        <v>46293</v>
      </c>
      <c r="D26" s="55" t="s">
        <v>23</v>
      </c>
      <c r="E26" s="56">
        <v>3</v>
      </c>
      <c r="F26" s="57" t="s">
        <v>36</v>
      </c>
      <c r="G26" s="60" t="s">
        <v>49</v>
      </c>
      <c r="H26" s="56">
        <v>3</v>
      </c>
      <c r="I26" s="70"/>
      <c r="J26" s="67"/>
      <c r="K26" s="68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 spans="1:26" ht="23.25" customHeight="1" x14ac:dyDescent="0.2">
      <c r="A27" s="52">
        <v>13</v>
      </c>
      <c r="B27" s="53">
        <f t="shared" si="0"/>
        <v>46294</v>
      </c>
      <c r="C27" s="54">
        <f>+C26+1</f>
        <v>46294</v>
      </c>
      <c r="D27" s="55" t="s">
        <v>23</v>
      </c>
      <c r="E27" s="56">
        <v>3</v>
      </c>
      <c r="F27" s="57" t="s">
        <v>36</v>
      </c>
      <c r="G27" s="60" t="s">
        <v>49</v>
      </c>
      <c r="H27" s="56">
        <v>3</v>
      </c>
      <c r="I27" s="70"/>
      <c r="J27" s="67"/>
      <c r="K27" s="68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 spans="1:26" ht="23.25" customHeight="1" x14ac:dyDescent="0.2">
      <c r="A28" s="52">
        <v>14</v>
      </c>
      <c r="B28" s="53">
        <f t="shared" si="0"/>
        <v>46295</v>
      </c>
      <c r="C28" s="54">
        <f>+C27+1</f>
        <v>46295</v>
      </c>
      <c r="D28" s="55" t="s">
        <v>23</v>
      </c>
      <c r="E28" s="56">
        <v>3</v>
      </c>
      <c r="F28" s="57" t="s">
        <v>36</v>
      </c>
      <c r="G28" s="61" t="s">
        <v>50</v>
      </c>
      <c r="H28" s="56">
        <v>3</v>
      </c>
      <c r="I28" s="70"/>
      <c r="J28" s="67"/>
      <c r="K28" s="68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 spans="1:26" ht="23.25" customHeight="1" x14ac:dyDescent="0.2">
      <c r="A29" s="52">
        <v>15</v>
      </c>
      <c r="B29" s="53">
        <f t="shared" si="0"/>
        <v>46296</v>
      </c>
      <c r="C29" s="54">
        <f>+C28+1</f>
        <v>46296</v>
      </c>
      <c r="D29" s="55" t="s">
        <v>23</v>
      </c>
      <c r="E29" s="56">
        <v>3</v>
      </c>
      <c r="F29" s="57" t="s">
        <v>37</v>
      </c>
      <c r="G29" s="60" t="s">
        <v>49</v>
      </c>
      <c r="H29" s="56">
        <v>3</v>
      </c>
      <c r="I29" s="70"/>
      <c r="J29" s="67"/>
      <c r="K29" s="68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 spans="1:26" ht="23.25" customHeight="1" x14ac:dyDescent="0.2">
      <c r="A30" s="52">
        <v>16</v>
      </c>
      <c r="B30" s="53">
        <f t="shared" si="0"/>
        <v>46297</v>
      </c>
      <c r="C30" s="54">
        <f>+C29+1</f>
        <v>46297</v>
      </c>
      <c r="D30" s="55" t="s">
        <v>23</v>
      </c>
      <c r="E30" s="56">
        <v>3</v>
      </c>
      <c r="F30" s="57" t="s">
        <v>37</v>
      </c>
      <c r="G30" s="60" t="s">
        <v>49</v>
      </c>
      <c r="H30" s="56">
        <v>3</v>
      </c>
      <c r="I30" s="70"/>
      <c r="J30" s="67"/>
      <c r="K30" s="68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 spans="1:26" ht="21" customHeight="1" x14ac:dyDescent="0.2">
      <c r="A31" s="35">
        <v>17</v>
      </c>
      <c r="B31" s="36">
        <f t="shared" si="0"/>
        <v>46300</v>
      </c>
      <c r="C31" s="51">
        <f>+C30+3</f>
        <v>46300</v>
      </c>
      <c r="D31" s="37" t="s">
        <v>23</v>
      </c>
      <c r="E31" s="38">
        <v>3</v>
      </c>
      <c r="F31" s="49" t="s">
        <v>37</v>
      </c>
      <c r="G31" s="59" t="s">
        <v>44</v>
      </c>
      <c r="H31" s="38">
        <v>3</v>
      </c>
      <c r="I31" s="70"/>
      <c r="J31" s="67"/>
      <c r="K31" s="68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 spans="1:26" ht="23.25" customHeight="1" x14ac:dyDescent="0.2">
      <c r="A32" s="35">
        <v>18</v>
      </c>
      <c r="B32" s="36">
        <f t="shared" si="0"/>
        <v>46301</v>
      </c>
      <c r="C32" s="51">
        <f>+C27+7</f>
        <v>46301</v>
      </c>
      <c r="D32" s="37" t="s">
        <v>23</v>
      </c>
      <c r="E32" s="38">
        <v>3</v>
      </c>
      <c r="F32" s="49" t="s">
        <v>37</v>
      </c>
      <c r="G32" s="59" t="s">
        <v>44</v>
      </c>
      <c r="H32" s="38">
        <v>3</v>
      </c>
      <c r="I32" s="70"/>
      <c r="J32" s="67"/>
      <c r="K32" s="68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 spans="1:26" ht="23.25" customHeight="1" x14ac:dyDescent="0.2">
      <c r="A33" s="35">
        <v>19</v>
      </c>
      <c r="B33" s="36">
        <f t="shared" si="0"/>
        <v>46302</v>
      </c>
      <c r="C33" s="51">
        <f>+C32+1</f>
        <v>46302</v>
      </c>
      <c r="D33" s="37" t="s">
        <v>23</v>
      </c>
      <c r="E33" s="38">
        <v>3</v>
      </c>
      <c r="F33" s="49" t="s">
        <v>37</v>
      </c>
      <c r="G33" s="59" t="s">
        <v>44</v>
      </c>
      <c r="H33" s="38">
        <v>3</v>
      </c>
      <c r="I33" s="70"/>
      <c r="J33" s="67"/>
      <c r="K33" s="68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 spans="1:26" ht="23.25" customHeight="1" x14ac:dyDescent="0.2">
      <c r="A34" s="35">
        <v>20</v>
      </c>
      <c r="B34" s="36">
        <f t="shared" si="0"/>
        <v>46303</v>
      </c>
      <c r="C34" s="51">
        <f>+C33+1</f>
        <v>46303</v>
      </c>
      <c r="D34" s="37" t="s">
        <v>23</v>
      </c>
      <c r="E34" s="38">
        <v>3</v>
      </c>
      <c r="F34" s="49" t="s">
        <v>38</v>
      </c>
      <c r="G34" s="59" t="s">
        <v>44</v>
      </c>
      <c r="H34" s="38">
        <v>3</v>
      </c>
      <c r="I34" s="70"/>
      <c r="J34" s="67"/>
      <c r="K34" s="68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 spans="1:26" ht="23.25" customHeight="1" x14ac:dyDescent="0.2">
      <c r="A35" s="35">
        <v>21</v>
      </c>
      <c r="B35" s="36">
        <f t="shared" si="0"/>
        <v>46304</v>
      </c>
      <c r="C35" s="51">
        <f>+C34+1</f>
        <v>46304</v>
      </c>
      <c r="D35" s="37" t="s">
        <v>23</v>
      </c>
      <c r="E35" s="38">
        <v>3</v>
      </c>
      <c r="F35" s="49" t="s">
        <v>38</v>
      </c>
      <c r="G35" s="59" t="s">
        <v>44</v>
      </c>
      <c r="H35" s="38">
        <v>3</v>
      </c>
      <c r="I35" s="70"/>
      <c r="J35" s="67"/>
      <c r="K35" s="68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 spans="1:26" s="44" customFormat="1" ht="23.25" customHeight="1" x14ac:dyDescent="0.2">
      <c r="A36" s="52">
        <v>22</v>
      </c>
      <c r="B36" s="53">
        <f t="shared" si="0"/>
        <v>46308</v>
      </c>
      <c r="C36" s="54">
        <f>+C35+4</f>
        <v>46308</v>
      </c>
      <c r="D36" s="55" t="s">
        <v>23</v>
      </c>
      <c r="E36" s="56">
        <v>3</v>
      </c>
      <c r="F36" s="57" t="s">
        <v>38</v>
      </c>
      <c r="G36" s="60" t="s">
        <v>49</v>
      </c>
      <c r="H36" s="56">
        <v>3</v>
      </c>
      <c r="I36" s="70"/>
      <c r="J36" s="72"/>
      <c r="K36" s="7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</row>
    <row r="37" spans="1:26" s="44" customFormat="1" ht="23.25" customHeight="1" x14ac:dyDescent="0.2">
      <c r="A37" s="52">
        <v>23</v>
      </c>
      <c r="B37" s="53">
        <f t="shared" si="0"/>
        <v>46309</v>
      </c>
      <c r="C37" s="54">
        <f>+C36+1</f>
        <v>46309</v>
      </c>
      <c r="D37" s="55" t="s">
        <v>23</v>
      </c>
      <c r="E37" s="56">
        <v>3</v>
      </c>
      <c r="F37" s="57" t="s">
        <v>38</v>
      </c>
      <c r="G37" s="60" t="s">
        <v>49</v>
      </c>
      <c r="H37" s="56">
        <v>3</v>
      </c>
      <c r="I37" s="70"/>
      <c r="J37" s="72"/>
      <c r="K37" s="7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</row>
    <row r="38" spans="1:26" s="44" customFormat="1" ht="23.25" customHeight="1" x14ac:dyDescent="0.2">
      <c r="A38" s="52">
        <v>24</v>
      </c>
      <c r="B38" s="53">
        <f t="shared" si="0"/>
        <v>46310</v>
      </c>
      <c r="C38" s="54">
        <f>+C37+1</f>
        <v>46310</v>
      </c>
      <c r="D38" s="55" t="s">
        <v>23</v>
      </c>
      <c r="E38" s="56">
        <v>3</v>
      </c>
      <c r="F38" s="57" t="s">
        <v>38</v>
      </c>
      <c r="G38" s="60" t="s">
        <v>49</v>
      </c>
      <c r="H38" s="56">
        <v>3</v>
      </c>
      <c r="I38" s="70"/>
      <c r="J38" s="72"/>
      <c r="K38" s="7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</row>
    <row r="39" spans="1:26" s="44" customFormat="1" ht="23.25" customHeight="1" x14ac:dyDescent="0.2">
      <c r="A39" s="52">
        <v>25</v>
      </c>
      <c r="B39" s="53">
        <f t="shared" si="0"/>
        <v>46311</v>
      </c>
      <c r="C39" s="54">
        <f>+C38+1</f>
        <v>46311</v>
      </c>
      <c r="D39" s="55" t="s">
        <v>23</v>
      </c>
      <c r="E39" s="56">
        <v>3</v>
      </c>
      <c r="F39" s="57" t="s">
        <v>38</v>
      </c>
      <c r="G39" s="60" t="s">
        <v>49</v>
      </c>
      <c r="H39" s="56">
        <v>3</v>
      </c>
      <c r="I39" s="70"/>
      <c r="J39" s="72"/>
      <c r="K39" s="7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</row>
    <row r="40" spans="1:26" s="44" customFormat="1" ht="23.25" customHeight="1" x14ac:dyDescent="0.2">
      <c r="A40" s="52">
        <v>26</v>
      </c>
      <c r="B40" s="53">
        <f t="shared" si="0"/>
        <v>46314</v>
      </c>
      <c r="C40" s="54">
        <f>+C39+3</f>
        <v>46314</v>
      </c>
      <c r="D40" s="55" t="s">
        <v>23</v>
      </c>
      <c r="E40" s="56">
        <v>3</v>
      </c>
      <c r="F40" s="57" t="s">
        <v>39</v>
      </c>
      <c r="G40" s="60" t="s">
        <v>49</v>
      </c>
      <c r="H40" s="56">
        <v>3</v>
      </c>
      <c r="I40" s="70"/>
      <c r="J40" s="72"/>
      <c r="K40" s="7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</row>
    <row r="41" spans="1:26" s="44" customFormat="1" ht="23.25" customHeight="1" x14ac:dyDescent="0.2">
      <c r="A41" s="52">
        <v>27</v>
      </c>
      <c r="B41" s="53">
        <f t="shared" si="0"/>
        <v>46315</v>
      </c>
      <c r="C41" s="54">
        <f>+C40+1</f>
        <v>46315</v>
      </c>
      <c r="D41" s="55" t="s">
        <v>23</v>
      </c>
      <c r="E41" s="56">
        <v>3</v>
      </c>
      <c r="F41" s="57" t="s">
        <v>39</v>
      </c>
      <c r="G41" s="60" t="s">
        <v>49</v>
      </c>
      <c r="H41" s="56">
        <v>3</v>
      </c>
      <c r="I41" s="70"/>
      <c r="J41" s="72"/>
      <c r="K41" s="7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</row>
    <row r="42" spans="1:26" ht="23.25" customHeight="1" x14ac:dyDescent="0.2">
      <c r="A42" s="52">
        <v>28</v>
      </c>
      <c r="B42" s="53">
        <f t="shared" si="0"/>
        <v>46316</v>
      </c>
      <c r="C42" s="54">
        <f>+C41+1</f>
        <v>46316</v>
      </c>
      <c r="D42" s="55" t="s">
        <v>23</v>
      </c>
      <c r="E42" s="56">
        <v>3</v>
      </c>
      <c r="F42" s="57" t="s">
        <v>39</v>
      </c>
      <c r="G42" s="60" t="s">
        <v>49</v>
      </c>
      <c r="H42" s="56">
        <v>3</v>
      </c>
      <c r="I42" s="70"/>
      <c r="J42" s="67"/>
      <c r="K42" s="68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 spans="1:26" ht="23.25" customHeight="1" x14ac:dyDescent="0.2">
      <c r="A43" s="52">
        <v>29</v>
      </c>
      <c r="B43" s="53">
        <f t="shared" si="0"/>
        <v>46317</v>
      </c>
      <c r="C43" s="54">
        <f>+C42+1</f>
        <v>46317</v>
      </c>
      <c r="D43" s="55" t="s">
        <v>23</v>
      </c>
      <c r="E43" s="56">
        <v>3</v>
      </c>
      <c r="F43" s="57" t="s">
        <v>40</v>
      </c>
      <c r="G43" s="60" t="s">
        <v>49</v>
      </c>
      <c r="H43" s="56">
        <v>3</v>
      </c>
      <c r="I43" s="70"/>
      <c r="J43" s="67"/>
      <c r="K43" s="68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 spans="1:26" ht="23.25" customHeight="1" x14ac:dyDescent="0.2">
      <c r="A44" s="52">
        <v>30</v>
      </c>
      <c r="B44" s="53">
        <f t="shared" si="0"/>
        <v>46318</v>
      </c>
      <c r="C44" s="54">
        <f>+C43+1</f>
        <v>46318</v>
      </c>
      <c r="D44" s="55" t="s">
        <v>23</v>
      </c>
      <c r="E44" s="56">
        <v>3</v>
      </c>
      <c r="F44" s="57" t="s">
        <v>40</v>
      </c>
      <c r="G44" s="60" t="s">
        <v>49</v>
      </c>
      <c r="H44" s="56">
        <v>3</v>
      </c>
      <c r="I44" s="70"/>
      <c r="J44" s="67"/>
      <c r="K44" s="68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 spans="1:26" ht="23.25" customHeight="1" x14ac:dyDescent="0.2">
      <c r="A45" s="52">
        <v>31</v>
      </c>
      <c r="B45" s="53">
        <f t="shared" si="0"/>
        <v>46321</v>
      </c>
      <c r="C45" s="54">
        <f>+C44+3</f>
        <v>46321</v>
      </c>
      <c r="D45" s="55" t="s">
        <v>23</v>
      </c>
      <c r="E45" s="56">
        <v>3</v>
      </c>
      <c r="F45" s="57" t="s">
        <v>40</v>
      </c>
      <c r="G45" s="60" t="s">
        <v>49</v>
      </c>
      <c r="H45" s="56">
        <v>3</v>
      </c>
      <c r="I45" s="70"/>
      <c r="J45" s="67"/>
      <c r="K45" s="68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 spans="1:26" ht="23.25" customHeight="1" x14ac:dyDescent="0.2">
      <c r="A46" s="52">
        <v>32</v>
      </c>
      <c r="B46" s="53">
        <f t="shared" si="0"/>
        <v>46322</v>
      </c>
      <c r="C46" s="54">
        <f>+C45+1</f>
        <v>46322</v>
      </c>
      <c r="D46" s="55" t="s">
        <v>23</v>
      </c>
      <c r="E46" s="56">
        <v>3</v>
      </c>
      <c r="F46" s="57" t="s">
        <v>40</v>
      </c>
      <c r="G46" s="60" t="s">
        <v>49</v>
      </c>
      <c r="H46" s="56">
        <v>3</v>
      </c>
      <c r="I46" s="71"/>
      <c r="J46" s="67"/>
      <c r="K46" s="68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 spans="1:26" ht="13.5" customHeight="1" thickBot="1" x14ac:dyDescent="0.25">
      <c r="A47" s="74" t="s">
        <v>24</v>
      </c>
      <c r="B47" s="75"/>
      <c r="C47" s="75"/>
      <c r="D47" s="76"/>
      <c r="E47" s="17">
        <f>SUM(E15:E46)</f>
        <v>96</v>
      </c>
      <c r="F47" s="18"/>
      <c r="G47" s="18"/>
      <c r="H47" s="17">
        <f>SUM(H15:H46)</f>
        <v>96</v>
      </c>
      <c r="I47" s="19"/>
      <c r="J47" s="20"/>
      <c r="K47" s="21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 spans="1:26" ht="6" customHeight="1" thickBot="1" x14ac:dyDescent="0.25">
      <c r="A48" s="22"/>
      <c r="B48" s="22"/>
      <c r="C48" s="22"/>
      <c r="D48" s="22"/>
      <c r="E48" s="22"/>
      <c r="F48" s="22"/>
      <c r="G48" s="50"/>
      <c r="H48" s="23"/>
      <c r="I48" s="23"/>
      <c r="J48" s="23"/>
      <c r="K48" s="24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 spans="1:26" ht="12.75" customHeight="1" x14ac:dyDescent="0.2">
      <c r="A49" s="16"/>
      <c r="B49" s="77" t="s">
        <v>25</v>
      </c>
      <c r="C49" s="78"/>
      <c r="D49" s="78"/>
      <c r="E49" s="78"/>
      <c r="F49" s="78"/>
      <c r="G49" s="78"/>
      <c r="H49" s="78"/>
      <c r="I49" s="78"/>
      <c r="J49" s="78"/>
      <c r="K49" s="79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 spans="1:26" ht="18" customHeight="1" x14ac:dyDescent="0.2">
      <c r="A50" s="16"/>
      <c r="B50" s="80" t="s">
        <v>26</v>
      </c>
      <c r="C50" s="81"/>
      <c r="D50" s="81"/>
      <c r="E50" s="81"/>
      <c r="F50" s="110" t="s">
        <v>27</v>
      </c>
      <c r="G50" s="81"/>
      <c r="H50" s="110" t="s">
        <v>28</v>
      </c>
      <c r="I50" s="81"/>
      <c r="J50" s="81"/>
      <c r="K50" s="111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 spans="1:26" s="26" customFormat="1" ht="18" customHeight="1" x14ac:dyDescent="0.2">
      <c r="A51" s="25"/>
      <c r="B51" s="80" t="s">
        <v>42</v>
      </c>
      <c r="C51" s="85"/>
      <c r="D51" s="85"/>
      <c r="E51" s="85"/>
      <c r="F51" s="86">
        <v>3176352066</v>
      </c>
      <c r="G51" s="81"/>
      <c r="H51" s="87" t="s">
        <v>45</v>
      </c>
      <c r="I51" s="88"/>
      <c r="J51" s="88"/>
      <c r="K51" s="89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</row>
    <row r="52" spans="1:26" s="26" customFormat="1" ht="18" customHeight="1" x14ac:dyDescent="0.2">
      <c r="A52" s="25"/>
      <c r="B52" s="80" t="s">
        <v>41</v>
      </c>
      <c r="C52" s="85"/>
      <c r="D52" s="85"/>
      <c r="E52" s="85"/>
      <c r="F52" s="86">
        <v>3184280112</v>
      </c>
      <c r="G52" s="81"/>
      <c r="H52" s="92" t="s">
        <v>48</v>
      </c>
      <c r="I52" s="88"/>
      <c r="J52" s="88"/>
      <c r="K52" s="89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</row>
    <row r="53" spans="1:26" s="26" customFormat="1" ht="18" customHeight="1" x14ac:dyDescent="0.2">
      <c r="A53" s="25"/>
      <c r="B53" s="93" t="s">
        <v>53</v>
      </c>
      <c r="C53" s="94"/>
      <c r="D53" s="94"/>
      <c r="E53" s="95"/>
      <c r="F53" s="86">
        <v>3216443492</v>
      </c>
      <c r="G53" s="81"/>
      <c r="H53" s="98" t="s">
        <v>54</v>
      </c>
      <c r="I53" s="101"/>
      <c r="J53" s="101"/>
      <c r="K53" s="102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</row>
    <row r="54" spans="1:26" s="26" customFormat="1" ht="18" customHeight="1" x14ac:dyDescent="0.2">
      <c r="A54" s="25"/>
      <c r="B54" s="93" t="s">
        <v>51</v>
      </c>
      <c r="C54" s="94"/>
      <c r="D54" s="94"/>
      <c r="E54" s="95"/>
      <c r="F54" s="96">
        <v>3217200554</v>
      </c>
      <c r="G54" s="97"/>
      <c r="H54" s="98" t="s">
        <v>52</v>
      </c>
      <c r="I54" s="99"/>
      <c r="J54" s="99"/>
      <c r="K54" s="100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</row>
    <row r="55" spans="1:26" s="26" customFormat="1" ht="18" customHeight="1" x14ac:dyDescent="0.2">
      <c r="A55" s="25"/>
      <c r="B55" s="84" t="s">
        <v>46</v>
      </c>
      <c r="C55" s="85"/>
      <c r="D55" s="85"/>
      <c r="E55" s="85"/>
      <c r="F55" s="86">
        <v>3013637788</v>
      </c>
      <c r="G55" s="81"/>
      <c r="H55" s="87" t="s">
        <v>47</v>
      </c>
      <c r="I55" s="88"/>
      <c r="J55" s="88"/>
      <c r="K55" s="89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</row>
    <row r="56" spans="1:26" ht="12.75" customHeight="1" x14ac:dyDescent="0.2">
      <c r="A56" s="16"/>
      <c r="B56" s="90"/>
      <c r="C56" s="63"/>
      <c r="D56" s="63"/>
      <c r="E56" s="63"/>
      <c r="F56" s="63"/>
      <c r="G56" s="63"/>
      <c r="H56" s="63"/>
      <c r="I56" s="63"/>
      <c r="J56" s="63"/>
      <c r="K56" s="63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 spans="1:26" s="39" customFormat="1" ht="12.75" customHeight="1" x14ac:dyDescent="0.2">
      <c r="A57" s="16"/>
      <c r="B57" s="41" t="s">
        <v>10</v>
      </c>
      <c r="C57" s="82" t="str">
        <f>+D11</f>
        <v>96 HORAS DEL 11 DE SEPTIEMBRE AL 27 DE OCTUBRE DEL 2026</v>
      </c>
      <c r="D57" s="91"/>
      <c r="E57" s="91"/>
      <c r="F57" s="91"/>
      <c r="G57" s="91"/>
      <c r="H57" s="91"/>
      <c r="I57" s="91"/>
      <c r="J57" s="91"/>
      <c r="K57" s="91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 spans="1:26" s="39" customFormat="1" ht="20.25" customHeight="1" x14ac:dyDescent="0.2">
      <c r="A58" s="16"/>
      <c r="B58" s="41" t="s">
        <v>29</v>
      </c>
      <c r="C58" s="45" t="s">
        <v>30</v>
      </c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 spans="1:26" ht="9.75" customHeight="1" x14ac:dyDescent="0.2">
      <c r="A59" s="16"/>
      <c r="B59" s="28"/>
      <c r="C59" s="29"/>
      <c r="D59" s="29"/>
      <c r="E59" s="29"/>
      <c r="F59" s="29"/>
      <c r="G59" s="30"/>
      <c r="H59" s="29"/>
      <c r="I59" s="29"/>
      <c r="J59" s="29"/>
      <c r="K59" s="29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 spans="1:26" ht="12.75" customHeight="1" x14ac:dyDescent="0.2">
      <c r="A60" s="16"/>
      <c r="B60" s="27" t="s">
        <v>31</v>
      </c>
      <c r="C60" s="82"/>
      <c r="D60" s="63"/>
      <c r="E60" s="63"/>
      <c r="F60" s="63"/>
      <c r="G60" s="63"/>
      <c r="H60" s="63"/>
      <c r="I60" s="63"/>
      <c r="J60" s="63"/>
      <c r="K60" s="63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 spans="1:26" ht="12.75" customHeight="1" x14ac:dyDescent="0.2">
      <c r="A61" s="6"/>
      <c r="B61" s="47"/>
      <c r="E61" s="83"/>
      <c r="F61" s="63"/>
      <c r="G61" s="31"/>
      <c r="H61" s="32"/>
      <c r="I61" s="33"/>
      <c r="J61" s="33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2.75" customHeight="1" x14ac:dyDescent="0.2">
      <c r="B62" s="46"/>
    </row>
    <row r="63" spans="1:26" ht="12.75" customHeight="1" x14ac:dyDescent="0.2">
      <c r="B63" s="48"/>
      <c r="K63" s="34" t="s">
        <v>32</v>
      </c>
    </row>
    <row r="64" spans="1:26" ht="12.75" customHeight="1" x14ac:dyDescent="0.2">
      <c r="B64" s="48"/>
    </row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  <row r="1001" ht="12.75" customHeight="1" x14ac:dyDescent="0.2"/>
    <row r="1002" ht="12.75" customHeight="1" x14ac:dyDescent="0.2"/>
    <row r="1003" ht="12.75" customHeight="1" x14ac:dyDescent="0.2"/>
  </sheetData>
  <autoFilter ref="A14:K55" xr:uid="{00000000-0009-0000-0000-000000000000}">
    <filterColumn colId="9" showButton="0"/>
  </autoFilter>
  <mergeCells count="72">
    <mergeCell ref="F50:G50"/>
    <mergeCell ref="H50:K50"/>
    <mergeCell ref="J44:K44"/>
    <mergeCell ref="J32:K32"/>
    <mergeCell ref="J33:K33"/>
    <mergeCell ref="J38:K38"/>
    <mergeCell ref="J39:K39"/>
    <mergeCell ref="J34:K34"/>
    <mergeCell ref="J35:K35"/>
    <mergeCell ref="A9:C9"/>
    <mergeCell ref="D9:K9"/>
    <mergeCell ref="A10:C10"/>
    <mergeCell ref="D10:K10"/>
    <mergeCell ref="A11:C11"/>
    <mergeCell ref="D11:K11"/>
    <mergeCell ref="A4:J5"/>
    <mergeCell ref="A6:K6"/>
    <mergeCell ref="A7:C7"/>
    <mergeCell ref="D7:K7"/>
    <mergeCell ref="A8:C8"/>
    <mergeCell ref="D8:K8"/>
    <mergeCell ref="B51:E51"/>
    <mergeCell ref="F51:G51"/>
    <mergeCell ref="H51:K51"/>
    <mergeCell ref="B56:K56"/>
    <mergeCell ref="C57:K57"/>
    <mergeCell ref="B52:E52"/>
    <mergeCell ref="F52:G52"/>
    <mergeCell ref="H52:K52"/>
    <mergeCell ref="B54:E54"/>
    <mergeCell ref="F54:G54"/>
    <mergeCell ref="H54:K54"/>
    <mergeCell ref="B53:E53"/>
    <mergeCell ref="F53:G53"/>
    <mergeCell ref="H53:K53"/>
    <mergeCell ref="C60:K60"/>
    <mergeCell ref="E61:F61"/>
    <mergeCell ref="B55:E55"/>
    <mergeCell ref="F55:G55"/>
    <mergeCell ref="H55:K55"/>
    <mergeCell ref="A47:D47"/>
    <mergeCell ref="B49:K49"/>
    <mergeCell ref="B50:E50"/>
    <mergeCell ref="J15:K15"/>
    <mergeCell ref="J16:K16"/>
    <mergeCell ref="J30:K30"/>
    <mergeCell ref="J25:K25"/>
    <mergeCell ref="J26:K26"/>
    <mergeCell ref="J29:K29"/>
    <mergeCell ref="J20:K20"/>
    <mergeCell ref="J21:K21"/>
    <mergeCell ref="J42:K42"/>
    <mergeCell ref="J27:K27"/>
    <mergeCell ref="J28:K28"/>
    <mergeCell ref="J24:K24"/>
    <mergeCell ref="J43:K43"/>
    <mergeCell ref="A12:C12"/>
    <mergeCell ref="D12:K12"/>
    <mergeCell ref="J14:K14"/>
    <mergeCell ref="J22:K22"/>
    <mergeCell ref="J23:K23"/>
    <mergeCell ref="J17:K17"/>
    <mergeCell ref="J18:K18"/>
    <mergeCell ref="J19:K19"/>
    <mergeCell ref="I15:I46"/>
    <mergeCell ref="J40:K40"/>
    <mergeCell ref="J41:K41"/>
    <mergeCell ref="J36:K36"/>
    <mergeCell ref="J37:K37"/>
    <mergeCell ref="J45:K45"/>
    <mergeCell ref="J46:K46"/>
    <mergeCell ref="J31:K31"/>
  </mergeCells>
  <hyperlinks>
    <hyperlink ref="H51" r:id="rId1" xr:uid="{8863CD01-D51A-40E5-8D19-671AA75FE759}"/>
    <hyperlink ref="H55" r:id="rId2" xr:uid="{346C37E8-3BE0-46E5-81D9-C188059A1A83}"/>
    <hyperlink ref="H54" r:id="rId3" xr:uid="{1FD5E397-AD94-4391-8488-DBF4A5291EDF}"/>
    <hyperlink ref="H53" r:id="rId4" xr:uid="{6E85A97D-73EA-4DA4-96A4-DAC94426B792}"/>
  </hyperlinks>
  <pageMargins left="1.299212598425197" right="0.78740157480314965" top="0.39370078740157483" bottom="0.39370078740157483" header="0" footer="0"/>
  <pageSetup scale="63" orientation="landscape" r:id="rId5"/>
  <drawing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Cronograma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Corporation</dc:creator>
  <cp:keywords/>
  <dc:description/>
  <cp:lastModifiedBy>Oscar Ivan Vargas Pineda</cp:lastModifiedBy>
  <cp:revision/>
  <dcterms:created xsi:type="dcterms:W3CDTF">1996-11-27T10:00:04Z</dcterms:created>
  <dcterms:modified xsi:type="dcterms:W3CDTF">2026-09-13T19:09:34Z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2026-07-23T17:36:39Z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6282ce1b-4000-400d-8019-7bdb81f3fd68</vt:lpwstr>
  </property>
  <property fmtid="{D5CDD505-2E9C-101B-9397-08002B2CF9AE}" pid="8" name="MSIP_Label_fc111285-cafa-4fc9-8a9a-bd902089b24f_ContentBits">
    <vt:lpwstr>0</vt:lpwstr>
  </property>
  <property fmtid="{D5CDD505-2E9C-101B-9397-08002B2CF9AE}" pid="9" name="MSIP_Label_fc111285-cafa-4fc9-8a9a-bd902089b24f_Tag">
    <vt:lpwstr>10, 0, 1, 1</vt:lpwstr>
  </property>
</Properties>
</file>